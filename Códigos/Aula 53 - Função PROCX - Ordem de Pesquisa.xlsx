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X1" sheetId="1" r:id="rId5"/>
    <sheet state="visible" name="PROCX2" sheetId="2" r:id="rId6"/>
    <sheet state="visible" name="PROCX3" sheetId="3" r:id="rId7"/>
    <sheet state="visible" name="PROCX4" sheetId="4" r:id="rId8"/>
    <sheet state="visible" name="PROCX5" sheetId="5" r:id="rId9"/>
  </sheets>
  <definedNames>
    <definedName hidden="1" localSheetId="2" name="_xlnm._FilterDatabase">PROCX3!$A$1:$D$101</definedName>
    <definedName hidden="1" localSheetId="3" name="_xlnm._FilterDatabase">PROCX4!$A$1:$D$500</definedName>
    <definedName hidden="1" localSheetId="4" name="_xlnm._FilterDatabase">PROCX5!$A$1:$D$500</definedName>
  </definedNames>
  <calcPr/>
</workbook>
</file>

<file path=xl/sharedStrings.xml><?xml version="1.0" encoding="utf-8"?>
<sst xmlns="http://schemas.openxmlformats.org/spreadsheetml/2006/main" count="1223" uniqueCount="301">
  <si>
    <t>Produto</t>
  </si>
  <si>
    <t>Código</t>
  </si>
  <si>
    <t>Estoque</t>
  </si>
  <si>
    <t>Marca</t>
  </si>
  <si>
    <t>Produto 1</t>
  </si>
  <si>
    <t>H9699</t>
  </si>
  <si>
    <t>Delta</t>
  </si>
  <si>
    <t>H9486</t>
  </si>
  <si>
    <t>Produto 2</t>
  </si>
  <si>
    <t>H4124</t>
  </si>
  <si>
    <t>Beta</t>
  </si>
  <si>
    <t>Produto 3</t>
  </si>
  <si>
    <t>H9159</t>
  </si>
  <si>
    <t>Alpha</t>
  </si>
  <si>
    <t>Produto 4</t>
  </si>
  <si>
    <t>H5182</t>
  </si>
  <si>
    <t>Produto 5</t>
  </si>
  <si>
    <t>H8546</t>
  </si>
  <si>
    <t>Produto 6</t>
  </si>
  <si>
    <t>H2689</t>
  </si>
  <si>
    <t>Produto 7</t>
  </si>
  <si>
    <t>H6241</t>
  </si>
  <si>
    <t>Produto 8</t>
  </si>
  <si>
    <t>H5151</t>
  </si>
  <si>
    <t>Produto 9</t>
  </si>
  <si>
    <t>H2124</t>
  </si>
  <si>
    <t>Produto 10</t>
  </si>
  <si>
    <t>H1816</t>
  </si>
  <si>
    <t>Produto 11</t>
  </si>
  <si>
    <t>H5322</t>
  </si>
  <si>
    <t>Produto 12</t>
  </si>
  <si>
    <t>H9287</t>
  </si>
  <si>
    <t>Produto 13</t>
  </si>
  <si>
    <t>H1935</t>
  </si>
  <si>
    <t>Produto 14</t>
  </si>
  <si>
    <t>H7898</t>
  </si>
  <si>
    <t>Produto 15</t>
  </si>
  <si>
    <t>H8237</t>
  </si>
  <si>
    <t>Produto 16</t>
  </si>
  <si>
    <t>H1186</t>
  </si>
  <si>
    <t>Produto 17</t>
  </si>
  <si>
    <t>H7655</t>
  </si>
  <si>
    <t>Produto 18</t>
  </si>
  <si>
    <t>H8884</t>
  </si>
  <si>
    <t>Produto 19</t>
  </si>
  <si>
    <t>H7141</t>
  </si>
  <si>
    <t>Produto 20</t>
  </si>
  <si>
    <t>H6586</t>
  </si>
  <si>
    <t>Produto 21</t>
  </si>
  <si>
    <t>Produto 22</t>
  </si>
  <si>
    <t>H1842</t>
  </si>
  <si>
    <t>Produto 23</t>
  </si>
  <si>
    <t>H6347</t>
  </si>
  <si>
    <t>Produto 24</t>
  </si>
  <si>
    <t>H9426</t>
  </si>
  <si>
    <t>Produto 25</t>
  </si>
  <si>
    <t>H7665</t>
  </si>
  <si>
    <t>Produto 26</t>
  </si>
  <si>
    <t>H1844</t>
  </si>
  <si>
    <t>Produto 27</t>
  </si>
  <si>
    <t>H3976</t>
  </si>
  <si>
    <t>Produto 28</t>
  </si>
  <si>
    <t>H8696</t>
  </si>
  <si>
    <t>Produto 29</t>
  </si>
  <si>
    <t>H1432</t>
  </si>
  <si>
    <t>Produto 30</t>
  </si>
  <si>
    <t>H5574</t>
  </si>
  <si>
    <t>Produto 31</t>
  </si>
  <si>
    <t>H4892</t>
  </si>
  <si>
    <t>Produto 32</t>
  </si>
  <si>
    <t>H4973</t>
  </si>
  <si>
    <t>Produto 33</t>
  </si>
  <si>
    <t>H6628</t>
  </si>
  <si>
    <t>Produto 34</t>
  </si>
  <si>
    <t>H5613</t>
  </si>
  <si>
    <t>Produto 35</t>
  </si>
  <si>
    <t>H2297</t>
  </si>
  <si>
    <t>Produto 36</t>
  </si>
  <si>
    <t>H8993</t>
  </si>
  <si>
    <t>Produto 37</t>
  </si>
  <si>
    <t>H1467</t>
  </si>
  <si>
    <t>Produto 38</t>
  </si>
  <si>
    <t>H2417</t>
  </si>
  <si>
    <t>Produto 39</t>
  </si>
  <si>
    <t>H1499</t>
  </si>
  <si>
    <t>Produto 40</t>
  </si>
  <si>
    <t>H6936</t>
  </si>
  <si>
    <t>Produto 41</t>
  </si>
  <si>
    <t>H7251</t>
  </si>
  <si>
    <t>Produto 42</t>
  </si>
  <si>
    <t>H7257</t>
  </si>
  <si>
    <t>Produto 43</t>
  </si>
  <si>
    <t>H3468</t>
  </si>
  <si>
    <t>Produto 44</t>
  </si>
  <si>
    <t>H6561</t>
  </si>
  <si>
    <t>Produto 45</t>
  </si>
  <si>
    <t>H3366</t>
  </si>
  <si>
    <t>Produto 46</t>
  </si>
  <si>
    <t>H4864</t>
  </si>
  <si>
    <t>Produto 47</t>
  </si>
  <si>
    <t>H8918</t>
  </si>
  <si>
    <t>Produto 48</t>
  </si>
  <si>
    <t>H8815</t>
  </si>
  <si>
    <t>Produto 49</t>
  </si>
  <si>
    <t>H9869</t>
  </si>
  <si>
    <t>Produto 50</t>
  </si>
  <si>
    <t>H3227</t>
  </si>
  <si>
    <t>Produto 51</t>
  </si>
  <si>
    <t>H4863</t>
  </si>
  <si>
    <t>Produto 52</t>
  </si>
  <si>
    <t>H4487</t>
  </si>
  <si>
    <t>Produto 53</t>
  </si>
  <si>
    <t>H5788</t>
  </si>
  <si>
    <t>Produto 54</t>
  </si>
  <si>
    <t>H6924</t>
  </si>
  <si>
    <t>Produto 55</t>
  </si>
  <si>
    <t>H4777</t>
  </si>
  <si>
    <t>Produto 56</t>
  </si>
  <si>
    <t>H7264</t>
  </si>
  <si>
    <t>Produto 57</t>
  </si>
  <si>
    <t>H4455</t>
  </si>
  <si>
    <t>Produto 58</t>
  </si>
  <si>
    <t>H3393</t>
  </si>
  <si>
    <t>Produto 59</t>
  </si>
  <si>
    <t>H2641</t>
  </si>
  <si>
    <t>Produto 60</t>
  </si>
  <si>
    <t>H4758</t>
  </si>
  <si>
    <t>Produto 61</t>
  </si>
  <si>
    <t>H5417</t>
  </si>
  <si>
    <t>Produto 62</t>
  </si>
  <si>
    <t>H7368</t>
  </si>
  <si>
    <t>Produto 63</t>
  </si>
  <si>
    <t>H5259</t>
  </si>
  <si>
    <t>Produto 64</t>
  </si>
  <si>
    <t>H2697</t>
  </si>
  <si>
    <t>Produto 65</t>
  </si>
  <si>
    <t>H5183</t>
  </si>
  <si>
    <t>Produto 66</t>
  </si>
  <si>
    <t>H9747</t>
  </si>
  <si>
    <t>Produto 67</t>
  </si>
  <si>
    <t>H1674</t>
  </si>
  <si>
    <t>Produto 68</t>
  </si>
  <si>
    <t>H2424</t>
  </si>
  <si>
    <t>Produto 69</t>
  </si>
  <si>
    <t>H2783</t>
  </si>
  <si>
    <t>Produto 70</t>
  </si>
  <si>
    <t>H8413</t>
  </si>
  <si>
    <t>Produto 71</t>
  </si>
  <si>
    <t>H2274</t>
  </si>
  <si>
    <t>Produto 72</t>
  </si>
  <si>
    <t>H9217</t>
  </si>
  <si>
    <t>Produto 73</t>
  </si>
  <si>
    <t>H3989</t>
  </si>
  <si>
    <t>Produto 74</t>
  </si>
  <si>
    <t>H2925</t>
  </si>
  <si>
    <t>Produto 75</t>
  </si>
  <si>
    <t>H2161</t>
  </si>
  <si>
    <t>Produto 76</t>
  </si>
  <si>
    <t>H3561</t>
  </si>
  <si>
    <t>Produto 77</t>
  </si>
  <si>
    <t>H1852</t>
  </si>
  <si>
    <t>Produto 78</t>
  </si>
  <si>
    <t>H5167</t>
  </si>
  <si>
    <t>Produto 79</t>
  </si>
  <si>
    <t>H8198</t>
  </si>
  <si>
    <t>Produto 80</t>
  </si>
  <si>
    <t>H5841</t>
  </si>
  <si>
    <t>Produto 81</t>
  </si>
  <si>
    <t>H6727</t>
  </si>
  <si>
    <t>Produto 82</t>
  </si>
  <si>
    <t>H4679</t>
  </si>
  <si>
    <t>Produto 83</t>
  </si>
  <si>
    <t>H3323</t>
  </si>
  <si>
    <t>Produto 84</t>
  </si>
  <si>
    <t>H6454</t>
  </si>
  <si>
    <t>Produto 85</t>
  </si>
  <si>
    <t>H7614</t>
  </si>
  <si>
    <t>Produto 86</t>
  </si>
  <si>
    <t>H2189</t>
  </si>
  <si>
    <t>Produto 87</t>
  </si>
  <si>
    <t>H8439</t>
  </si>
  <si>
    <t>Produto 88</t>
  </si>
  <si>
    <t>H2352</t>
  </si>
  <si>
    <t>Produto 89</t>
  </si>
  <si>
    <t>H4776</t>
  </si>
  <si>
    <t>Produto 90</t>
  </si>
  <si>
    <t>H4633</t>
  </si>
  <si>
    <t>Produto 91</t>
  </si>
  <si>
    <t>H6151</t>
  </si>
  <si>
    <t>Produto 92</t>
  </si>
  <si>
    <t>H5484</t>
  </si>
  <si>
    <t>Produto 93</t>
  </si>
  <si>
    <t>H5888</t>
  </si>
  <si>
    <t>Produto 94</t>
  </si>
  <si>
    <t>H1418</t>
  </si>
  <si>
    <t>Produto 95</t>
  </si>
  <si>
    <t>H3995</t>
  </si>
  <si>
    <t>Produto 96</t>
  </si>
  <si>
    <t>H4492</t>
  </si>
  <si>
    <t>Produto 97</t>
  </si>
  <si>
    <t>H2383</t>
  </si>
  <si>
    <t>Produto 98</t>
  </si>
  <si>
    <t>H4138</t>
  </si>
  <si>
    <t>Produto 99</t>
  </si>
  <si>
    <t>H2391</t>
  </si>
  <si>
    <t>Produto 100</t>
  </si>
  <si>
    <t>H9434</t>
  </si>
  <si>
    <t>Código1</t>
  </si>
  <si>
    <t>Código2</t>
  </si>
  <si>
    <t>O7419</t>
  </si>
  <si>
    <t>T5235</t>
  </si>
  <si>
    <t>L5213</t>
  </si>
  <si>
    <t>V6995</t>
  </si>
  <si>
    <t>O1496</t>
  </si>
  <si>
    <t>L9361</t>
  </si>
  <si>
    <t>L5221</t>
  </si>
  <si>
    <t>O1193</t>
  </si>
  <si>
    <t>K6331</t>
  </si>
  <si>
    <t>K3227</t>
  </si>
  <si>
    <t>O8194</t>
  </si>
  <si>
    <t>V5889</t>
  </si>
  <si>
    <t>L8539</t>
  </si>
  <si>
    <t>Mínimo</t>
  </si>
  <si>
    <t>Máximo</t>
  </si>
  <si>
    <t>Nível</t>
  </si>
  <si>
    <t>Nível A</t>
  </si>
  <si>
    <t>Nível B</t>
  </si>
  <si>
    <t>Nível C</t>
  </si>
  <si>
    <t>Nível D</t>
  </si>
  <si>
    <t>Nível E</t>
  </si>
  <si>
    <t>-</t>
  </si>
  <si>
    <t>Nível F</t>
  </si>
  <si>
    <t>Data Entrada</t>
  </si>
  <si>
    <t>Projeto</t>
  </si>
  <si>
    <t>Funcionário</t>
  </si>
  <si>
    <t>Status</t>
  </si>
  <si>
    <t>Fernado Torres</t>
  </si>
  <si>
    <t>Luiza Melo</t>
  </si>
  <si>
    <t>Projeto 30</t>
  </si>
  <si>
    <t>Concluído</t>
  </si>
  <si>
    <t>Rebeca Dias</t>
  </si>
  <si>
    <t>Projeto 32</t>
  </si>
  <si>
    <r>
      <rPr>
        <rFont val="Calibri"/>
        <color theme="1"/>
        <sz val="12.0"/>
      </rPr>
      <t>Projeto</t>
    </r>
    <r>
      <rPr>
        <rFont val="Calibri"/>
        <b/>
        <color theme="1"/>
        <sz val="12.0"/>
      </rPr>
      <t xml:space="preserve"> Inicial</t>
    </r>
  </si>
  <si>
    <t>Projeto 8</t>
  </si>
  <si>
    <t>Nota Fiscal</t>
  </si>
  <si>
    <t>Pedro Martins</t>
  </si>
  <si>
    <t>Projeto 29</t>
  </si>
  <si>
    <t>Negociando</t>
  </si>
  <si>
    <t>Projeto 36</t>
  </si>
  <si>
    <t>Projeto 14</t>
  </si>
  <si>
    <r>
      <rPr>
        <rFont val="Calibri"/>
        <color theme="1"/>
        <sz val="12.0"/>
      </rPr>
      <t>Projeto</t>
    </r>
    <r>
      <rPr>
        <rFont val="Calibri"/>
        <b/>
        <color theme="1"/>
        <sz val="12.0"/>
      </rPr>
      <t xml:space="preserve"> Final</t>
    </r>
  </si>
  <si>
    <t>Projeto 12</t>
  </si>
  <si>
    <t>Projeto 49</t>
  </si>
  <si>
    <t>Projeto 11</t>
  </si>
  <si>
    <t>Projeto 15</t>
  </si>
  <si>
    <t>Projeto 31</t>
  </si>
  <si>
    <t>Encerrado</t>
  </si>
  <si>
    <t>Projeto 42</t>
  </si>
  <si>
    <t>Projeto 10</t>
  </si>
  <si>
    <t>Projeto 45</t>
  </si>
  <si>
    <t>Projeto 7</t>
  </si>
  <si>
    <t>Projeto 13</t>
  </si>
  <si>
    <t>Projeto 4</t>
  </si>
  <si>
    <t>Projeto 2</t>
  </si>
  <si>
    <t>Projeto 23</t>
  </si>
  <si>
    <t>Projeto 6</t>
  </si>
  <si>
    <t>Projeto 22</t>
  </si>
  <si>
    <t>Projeto 47</t>
  </si>
  <si>
    <t>Contrato</t>
  </si>
  <si>
    <t>Projeto 37</t>
  </si>
  <si>
    <t>Projeto 46</t>
  </si>
  <si>
    <t>Projeto 48</t>
  </si>
  <si>
    <t>Projeto 19</t>
  </si>
  <si>
    <t>Projeto 16</t>
  </si>
  <si>
    <t>Projeto 26</t>
  </si>
  <si>
    <t>Projeto 43</t>
  </si>
  <si>
    <t>Projeto 33</t>
  </si>
  <si>
    <t>Projeto 21</t>
  </si>
  <si>
    <t>Projeto 25</t>
  </si>
  <si>
    <t>Projeto 27</t>
  </si>
  <si>
    <t>Projeto 1</t>
  </si>
  <si>
    <t>Projeto 28</t>
  </si>
  <si>
    <t>Projeto 39</t>
  </si>
  <si>
    <t>Projeto 38</t>
  </si>
  <si>
    <t>Projeto 17</t>
  </si>
  <si>
    <t>Projeto 24</t>
  </si>
  <si>
    <t>Projeto 18</t>
  </si>
  <si>
    <t>Projeto 20</t>
  </si>
  <si>
    <t>Projeto 5</t>
  </si>
  <si>
    <t>Projeto 34</t>
  </si>
  <si>
    <t>Projeto 35</t>
  </si>
  <si>
    <t>Projeto 3</t>
  </si>
  <si>
    <t>Projeto 44</t>
  </si>
  <si>
    <t>Projeto 41</t>
  </si>
  <si>
    <t>Projeto 9</t>
  </si>
  <si>
    <t>Projeto 40</t>
  </si>
  <si>
    <t>2015</t>
  </si>
  <si>
    <t>2016</t>
  </si>
  <si>
    <t>2017</t>
  </si>
  <si>
    <t>2018</t>
  </si>
  <si>
    <t>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</si>
</sst>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R$&quot;#,##0"/>
    <numFmt numFmtId="165" formatCode="&quot;R$&quot;\ #,##0;[Red]\-&quot;R$&quot;\ #,##0"/>
    <numFmt numFmtId="166" formatCode="D/M/YYYY"/>
    <numFmt numFmtId="167" formatCode="dd/MM/yyyy"/>
    <numFmt numFmtId="168" formatCode="&quot;R$&quot;\ #,##0"/>
  </numFmts>
  <fonts count="5">
    <font>
      <sz val="11.0"/>
      <color theme="1"/>
      <name val="Calibri"/>
      <scheme val="minor"/>
    </font>
    <font>
      <sz val="12.0"/>
      <color theme="0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D8D8D8"/>
        <bgColor rgb="FFD8D8D8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0" fontId="2" numFmtId="0" xfId="0" applyFont="1"/>
    <xf borderId="2" fillId="2" fontId="1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left"/>
    </xf>
    <xf borderId="2" fillId="4" fontId="4" numFmtId="0" xfId="0" applyAlignment="1" applyBorder="1" applyFill="1" applyFont="1">
      <alignment horizontal="center"/>
    </xf>
    <xf borderId="2" fillId="0" fontId="2" numFmtId="3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left"/>
    </xf>
    <xf borderId="1" fillId="4" fontId="1" numFmtId="0" xfId="0" applyAlignment="1" applyBorder="1" applyFont="1">
      <alignment horizontal="left"/>
    </xf>
    <xf borderId="1" fillId="3" fontId="3" numFmtId="0" xfId="0" applyAlignment="1" applyBorder="1" applyFont="1">
      <alignment horizontal="left"/>
    </xf>
    <xf borderId="1" fillId="2" fontId="1" numFmtId="0" xfId="0" applyBorder="1" applyFont="1"/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0" fillId="0" fontId="2" numFmtId="16" xfId="0" applyAlignment="1" applyFont="1" applyNumberFormat="1">
      <alignment horizontal="left"/>
    </xf>
    <xf borderId="1" fillId="3" fontId="3" numFmtId="165" xfId="0" applyAlignment="1" applyBorder="1" applyFont="1" applyNumberFormat="1">
      <alignment horizontal="left" readingOrder="0"/>
    </xf>
    <xf borderId="0" fillId="0" fontId="2" numFmtId="166" xfId="0" applyAlignment="1" applyFont="1" applyNumberFormat="1">
      <alignment horizontal="left"/>
    </xf>
    <xf borderId="2" fillId="3" fontId="2" numFmtId="0" xfId="0" applyAlignment="1" applyBorder="1" applyFont="1">
      <alignment horizontal="left"/>
    </xf>
    <xf borderId="2" fillId="0" fontId="2" numFmtId="165" xfId="0" applyAlignment="1" applyBorder="1" applyFont="1" applyNumberFormat="1">
      <alignment horizontal="left"/>
    </xf>
    <xf borderId="2" fillId="0" fontId="2" numFmtId="167" xfId="0" applyAlignment="1" applyBorder="1" applyFont="1" applyNumberFormat="1">
      <alignment horizontal="left"/>
    </xf>
    <xf borderId="2" fillId="4" fontId="4" numFmtId="0" xfId="0" applyAlignment="1" applyBorder="1" applyFont="1">
      <alignment horizontal="left"/>
    </xf>
    <xf borderId="2" fillId="2" fontId="4" numFmtId="0" xfId="0" applyAlignment="1" applyBorder="1" applyFont="1">
      <alignment horizontal="center"/>
    </xf>
    <xf borderId="0" fillId="0" fontId="2" numFmtId="168" xfId="0" applyAlignment="1" applyFont="1" applyNumberFormat="1">
      <alignment horizontal="left"/>
    </xf>
    <xf borderId="2" fillId="3" fontId="2" numFmtId="0" xfId="0" applyAlignment="1" applyBorder="1" applyFont="1">
      <alignment horizontal="left" readingOrder="0"/>
    </xf>
    <xf borderId="2" fillId="7" fontId="2" numFmtId="168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3.57"/>
    <col customWidth="1" min="5" max="5" width="9.14"/>
    <col customWidth="1" min="6" max="8" width="15.0"/>
    <col customWidth="1" min="9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1</v>
      </c>
      <c r="G1" s="4" t="s">
        <v>2</v>
      </c>
      <c r="H1" s="4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</v>
      </c>
      <c r="B2" s="2" t="s">
        <v>5</v>
      </c>
      <c r="C2" s="6">
        <v>2434.0</v>
      </c>
      <c r="D2" s="5" t="s">
        <v>6</v>
      </c>
      <c r="E2" s="2"/>
      <c r="F2" s="7" t="s">
        <v>7</v>
      </c>
      <c r="G2" s="8">
        <f t="array" ref="G2">XLOOKUP(F2,B:B,C:C)</f>
        <v>819</v>
      </c>
      <c r="H2" s="9" t="str">
        <f t="array" ref="H2">XLOOKUP(F2,B:B,A:A)</f>
        <v>Produto 21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8</v>
      </c>
      <c r="B3" s="2" t="s">
        <v>9</v>
      </c>
      <c r="C3" s="6">
        <v>8222.0</v>
      </c>
      <c r="D3" s="5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11</v>
      </c>
      <c r="B4" s="2" t="s">
        <v>12</v>
      </c>
      <c r="C4" s="6">
        <v>1016.0</v>
      </c>
      <c r="D4" s="5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14</v>
      </c>
      <c r="B5" s="2" t="s">
        <v>15</v>
      </c>
      <c r="C5" s="6">
        <v>6531.0</v>
      </c>
      <c r="D5" s="5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16</v>
      </c>
      <c r="B6" s="2" t="s">
        <v>17</v>
      </c>
      <c r="C6" s="6">
        <v>8521.0</v>
      </c>
      <c r="D6" s="5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18</v>
      </c>
      <c r="B7" s="2" t="s">
        <v>19</v>
      </c>
      <c r="C7" s="6">
        <v>2924.0</v>
      </c>
      <c r="D7" s="5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20</v>
      </c>
      <c r="B8" s="2" t="s">
        <v>21</v>
      </c>
      <c r="C8" s="6">
        <v>1232.0</v>
      </c>
      <c r="D8" s="5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22</v>
      </c>
      <c r="B9" s="2" t="s">
        <v>23</v>
      </c>
      <c r="C9" s="6">
        <v>948.0</v>
      </c>
      <c r="D9" s="5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24</v>
      </c>
      <c r="B10" s="2" t="s">
        <v>25</v>
      </c>
      <c r="C10" s="6">
        <v>1750.0</v>
      </c>
      <c r="D10" s="5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26</v>
      </c>
      <c r="B11" s="2" t="s">
        <v>27</v>
      </c>
      <c r="C11" s="6">
        <v>7918.0</v>
      </c>
      <c r="D11" s="5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28</v>
      </c>
      <c r="B12" s="2" t="s">
        <v>29</v>
      </c>
      <c r="C12" s="6">
        <v>1370.0</v>
      </c>
      <c r="D12" s="5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30</v>
      </c>
      <c r="B13" s="2" t="s">
        <v>31</v>
      </c>
      <c r="C13" s="6">
        <v>9365.0</v>
      </c>
      <c r="D13" s="5" t="s">
        <v>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32</v>
      </c>
      <c r="B14" s="2" t="s">
        <v>33</v>
      </c>
      <c r="C14" s="6">
        <v>6228.0</v>
      </c>
      <c r="D14" s="5" t="s">
        <v>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34</v>
      </c>
      <c r="B15" s="2" t="s">
        <v>35</v>
      </c>
      <c r="C15" s="6">
        <v>1248.0</v>
      </c>
      <c r="D15" s="5" t="s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36</v>
      </c>
      <c r="B16" s="2" t="s">
        <v>37</v>
      </c>
      <c r="C16" s="6">
        <v>5828.0</v>
      </c>
      <c r="D16" s="5" t="s">
        <v>13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38</v>
      </c>
      <c r="B17" s="2" t="s">
        <v>39</v>
      </c>
      <c r="C17" s="6">
        <v>5701.0</v>
      </c>
      <c r="D17" s="5" t="s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40</v>
      </c>
      <c r="B18" s="2" t="s">
        <v>41</v>
      </c>
      <c r="C18" s="6">
        <v>7500.0</v>
      </c>
      <c r="D18" s="5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42</v>
      </c>
      <c r="B19" s="2" t="s">
        <v>43</v>
      </c>
      <c r="C19" s="6">
        <v>5565.0</v>
      </c>
      <c r="D19" s="5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44</v>
      </c>
      <c r="B20" s="2" t="s">
        <v>45</v>
      </c>
      <c r="C20" s="6">
        <v>5900.0</v>
      </c>
      <c r="D20" s="5" t="s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46</v>
      </c>
      <c r="B21" s="2" t="s">
        <v>47</v>
      </c>
      <c r="C21" s="6">
        <v>608.0</v>
      </c>
      <c r="D21" s="5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48</v>
      </c>
      <c r="B22" s="2" t="s">
        <v>7</v>
      </c>
      <c r="C22" s="6">
        <v>819.0</v>
      </c>
      <c r="D22" s="5" t="s">
        <v>13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49</v>
      </c>
      <c r="B23" s="2" t="s">
        <v>50</v>
      </c>
      <c r="C23" s="6">
        <v>564.0</v>
      </c>
      <c r="D23" s="5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51</v>
      </c>
      <c r="B24" s="2" t="s">
        <v>52</v>
      </c>
      <c r="C24" s="6">
        <v>7861.0</v>
      </c>
      <c r="D24" s="5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53</v>
      </c>
      <c r="B25" s="2" t="s">
        <v>54</v>
      </c>
      <c r="C25" s="6">
        <v>731.0</v>
      </c>
      <c r="D25" s="5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55</v>
      </c>
      <c r="B26" s="2" t="s">
        <v>56</v>
      </c>
      <c r="C26" s="6">
        <v>7150.0</v>
      </c>
      <c r="D26" s="5" t="s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57</v>
      </c>
      <c r="B27" s="2" t="s">
        <v>58</v>
      </c>
      <c r="C27" s="6">
        <v>9927.0</v>
      </c>
      <c r="D27" s="5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59</v>
      </c>
      <c r="B28" s="2" t="s">
        <v>60</v>
      </c>
      <c r="C28" s="6">
        <v>2219.0</v>
      </c>
      <c r="D28" s="5" t="s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61</v>
      </c>
      <c r="B29" s="2" t="s">
        <v>62</v>
      </c>
      <c r="C29" s="6">
        <v>3079.0</v>
      </c>
      <c r="D29" s="5" t="s">
        <v>13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63</v>
      </c>
      <c r="B30" s="2" t="s">
        <v>64</v>
      </c>
      <c r="C30" s="6">
        <v>7887.0</v>
      </c>
      <c r="D30" s="5" t="s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65</v>
      </c>
      <c r="B31" s="2" t="s">
        <v>66</v>
      </c>
      <c r="C31" s="6">
        <v>6912.0</v>
      </c>
      <c r="D31" s="5" t="s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67</v>
      </c>
      <c r="B32" s="2" t="s">
        <v>68</v>
      </c>
      <c r="C32" s="6">
        <v>6202.0</v>
      </c>
      <c r="D32" s="5" t="s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69</v>
      </c>
      <c r="B33" s="2" t="s">
        <v>70</v>
      </c>
      <c r="C33" s="6">
        <v>3042.0</v>
      </c>
      <c r="D33" s="5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71</v>
      </c>
      <c r="B34" s="2" t="s">
        <v>72</v>
      </c>
      <c r="C34" s="6">
        <v>1430.0</v>
      </c>
      <c r="D34" s="5" t="s">
        <v>10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73</v>
      </c>
      <c r="B35" s="2" t="s">
        <v>74</v>
      </c>
      <c r="C35" s="6">
        <v>2892.0</v>
      </c>
      <c r="D35" s="5" t="s">
        <v>10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75</v>
      </c>
      <c r="B36" s="2" t="s">
        <v>76</v>
      </c>
      <c r="C36" s="6">
        <v>9172.0</v>
      </c>
      <c r="D36" s="5" t="s">
        <v>13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77</v>
      </c>
      <c r="B37" s="2" t="s">
        <v>78</v>
      </c>
      <c r="C37" s="6">
        <v>357.0</v>
      </c>
      <c r="D37" s="5" t="s">
        <v>10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79</v>
      </c>
      <c r="B38" s="2" t="s">
        <v>80</v>
      </c>
      <c r="C38" s="6">
        <v>619.0</v>
      </c>
      <c r="D38" s="5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81</v>
      </c>
      <c r="B39" s="2" t="s">
        <v>82</v>
      </c>
      <c r="C39" s="6">
        <v>7088.0</v>
      </c>
      <c r="D39" s="5" t="s">
        <v>13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83</v>
      </c>
      <c r="B40" s="2" t="s">
        <v>84</v>
      </c>
      <c r="C40" s="6">
        <v>9380.0</v>
      </c>
      <c r="D40" s="5" t="s">
        <v>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85</v>
      </c>
      <c r="B41" s="2" t="s">
        <v>86</v>
      </c>
      <c r="C41" s="6">
        <v>3330.0</v>
      </c>
      <c r="D41" s="5" t="s">
        <v>10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87</v>
      </c>
      <c r="B42" s="2" t="s">
        <v>88</v>
      </c>
      <c r="C42" s="6">
        <v>9746.0</v>
      </c>
      <c r="D42" s="5" t="s">
        <v>13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89</v>
      </c>
      <c r="B43" s="2" t="s">
        <v>90</v>
      </c>
      <c r="C43" s="6">
        <v>9226.0</v>
      </c>
      <c r="D43" s="5" t="s">
        <v>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91</v>
      </c>
      <c r="B44" s="2" t="s">
        <v>92</v>
      </c>
      <c r="C44" s="6">
        <v>5808.0</v>
      </c>
      <c r="D44" s="5" t="s">
        <v>13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93</v>
      </c>
      <c r="B45" s="2" t="s">
        <v>94</v>
      </c>
      <c r="C45" s="6">
        <v>6838.0</v>
      </c>
      <c r="D45" s="5" t="s"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95</v>
      </c>
      <c r="B46" s="2" t="s">
        <v>96</v>
      </c>
      <c r="C46" s="6">
        <v>6330.0</v>
      </c>
      <c r="D46" s="5" t="s">
        <v>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97</v>
      </c>
      <c r="B47" s="2" t="s">
        <v>98</v>
      </c>
      <c r="C47" s="6">
        <v>701.0</v>
      </c>
      <c r="D47" s="5" t="s">
        <v>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99</v>
      </c>
      <c r="B48" s="2" t="s">
        <v>100</v>
      </c>
      <c r="C48" s="6">
        <v>7196.0</v>
      </c>
      <c r="D48" s="5" t="s">
        <v>10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101</v>
      </c>
      <c r="B49" s="2" t="s">
        <v>102</v>
      </c>
      <c r="C49" s="6">
        <v>6864.0</v>
      </c>
      <c r="D49" s="5" t="s">
        <v>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103</v>
      </c>
      <c r="B50" s="2" t="s">
        <v>104</v>
      </c>
      <c r="C50" s="6">
        <v>1587.0</v>
      </c>
      <c r="D50" s="5" t="s">
        <v>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105</v>
      </c>
      <c r="B51" s="2" t="s">
        <v>106</v>
      </c>
      <c r="C51" s="6">
        <v>4717.0</v>
      </c>
      <c r="D51" s="5" t="s">
        <v>13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107</v>
      </c>
      <c r="B52" s="2" t="s">
        <v>108</v>
      </c>
      <c r="C52" s="6">
        <v>6880.0</v>
      </c>
      <c r="D52" s="5" t="s">
        <v>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109</v>
      </c>
      <c r="B53" s="2" t="s">
        <v>110</v>
      </c>
      <c r="C53" s="6">
        <v>4853.0</v>
      </c>
      <c r="D53" s="5" t="s">
        <v>13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111</v>
      </c>
      <c r="B54" s="2" t="s">
        <v>112</v>
      </c>
      <c r="C54" s="6">
        <v>801.0</v>
      </c>
      <c r="D54" s="5" t="s">
        <v>10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113</v>
      </c>
      <c r="B55" s="2" t="s">
        <v>114</v>
      </c>
      <c r="C55" s="6">
        <v>1928.0</v>
      </c>
      <c r="D55" s="5" t="s">
        <v>13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115</v>
      </c>
      <c r="B56" s="2" t="s">
        <v>116</v>
      </c>
      <c r="C56" s="6">
        <v>1028.0</v>
      </c>
      <c r="D56" s="5" t="s">
        <v>13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117</v>
      </c>
      <c r="B57" s="2" t="s">
        <v>118</v>
      </c>
      <c r="C57" s="6">
        <v>5895.0</v>
      </c>
      <c r="D57" s="5" t="s">
        <v>10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119</v>
      </c>
      <c r="B58" s="2" t="s">
        <v>120</v>
      </c>
      <c r="C58" s="6">
        <v>6489.0</v>
      </c>
      <c r="D58" s="5" t="s">
        <v>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121</v>
      </c>
      <c r="B59" s="2" t="s">
        <v>122</v>
      </c>
      <c r="C59" s="6">
        <v>9959.0</v>
      </c>
      <c r="D59" s="5" t="s">
        <v>10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123</v>
      </c>
      <c r="B60" s="2" t="s">
        <v>124</v>
      </c>
      <c r="C60" s="6">
        <v>620.0</v>
      </c>
      <c r="D60" s="5" t="s">
        <v>13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125</v>
      </c>
      <c r="B61" s="2" t="s">
        <v>126</v>
      </c>
      <c r="C61" s="6">
        <v>7231.0</v>
      </c>
      <c r="D61" s="5" t="s">
        <v>13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127</v>
      </c>
      <c r="B62" s="2" t="s">
        <v>128</v>
      </c>
      <c r="C62" s="6">
        <v>4548.0</v>
      </c>
      <c r="D62" s="5" t="s">
        <v>13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129</v>
      </c>
      <c r="B63" s="2" t="s">
        <v>130</v>
      </c>
      <c r="C63" s="6">
        <v>7846.0</v>
      </c>
      <c r="D63" s="5" t="s">
        <v>10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131</v>
      </c>
      <c r="B64" s="2" t="s">
        <v>132</v>
      </c>
      <c r="C64" s="6">
        <v>7573.0</v>
      </c>
      <c r="D64" s="5" t="s">
        <v>13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133</v>
      </c>
      <c r="B65" s="2" t="s">
        <v>134</v>
      </c>
      <c r="C65" s="6">
        <v>6785.0</v>
      </c>
      <c r="D65" s="5" t="s">
        <v>13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135</v>
      </c>
      <c r="B66" s="2" t="s">
        <v>136</v>
      </c>
      <c r="C66" s="6">
        <v>7699.0</v>
      </c>
      <c r="D66" s="5" t="s">
        <v>13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137</v>
      </c>
      <c r="B67" s="2" t="s">
        <v>138</v>
      </c>
      <c r="C67" s="6">
        <v>6281.0</v>
      </c>
      <c r="D67" s="5" t="s">
        <v>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139</v>
      </c>
      <c r="B68" s="2" t="s">
        <v>140</v>
      </c>
      <c r="C68" s="6">
        <v>959.0</v>
      </c>
      <c r="D68" s="5" t="s">
        <v>13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141</v>
      </c>
      <c r="B69" s="2" t="s">
        <v>142</v>
      </c>
      <c r="C69" s="6">
        <v>9644.0</v>
      </c>
      <c r="D69" s="5" t="s">
        <v>13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143</v>
      </c>
      <c r="B70" s="2" t="s">
        <v>144</v>
      </c>
      <c r="C70" s="6">
        <v>5728.0</v>
      </c>
      <c r="D70" s="5" t="s">
        <v>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145</v>
      </c>
      <c r="B71" s="2" t="s">
        <v>146</v>
      </c>
      <c r="C71" s="6">
        <v>9216.0</v>
      </c>
      <c r="D71" s="5" t="s">
        <v>13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147</v>
      </c>
      <c r="B72" s="2" t="s">
        <v>148</v>
      </c>
      <c r="C72" s="6">
        <v>2985.0</v>
      </c>
      <c r="D72" s="5" t="s">
        <v>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149</v>
      </c>
      <c r="B73" s="2" t="s">
        <v>150</v>
      </c>
      <c r="C73" s="6">
        <v>8403.0</v>
      </c>
      <c r="D73" s="5" t="s">
        <v>10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151</v>
      </c>
      <c r="B74" s="2" t="s">
        <v>152</v>
      </c>
      <c r="C74" s="6">
        <v>8250.0</v>
      </c>
      <c r="D74" s="5" t="s">
        <v>13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153</v>
      </c>
      <c r="B75" s="2" t="s">
        <v>154</v>
      </c>
      <c r="C75" s="6">
        <v>3185.0</v>
      </c>
      <c r="D75" s="5" t="s">
        <v>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155</v>
      </c>
      <c r="B76" s="2" t="s">
        <v>156</v>
      </c>
      <c r="C76" s="6">
        <v>5718.0</v>
      </c>
      <c r="D76" s="5" t="s">
        <v>10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157</v>
      </c>
      <c r="B77" s="2" t="s">
        <v>158</v>
      </c>
      <c r="C77" s="6">
        <v>4388.0</v>
      </c>
      <c r="D77" s="5" t="s">
        <v>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159</v>
      </c>
      <c r="B78" s="2" t="s">
        <v>160</v>
      </c>
      <c r="C78" s="6">
        <v>7880.0</v>
      </c>
      <c r="D78" s="5" t="s">
        <v>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161</v>
      </c>
      <c r="B79" s="2" t="s">
        <v>162</v>
      </c>
      <c r="C79" s="6">
        <v>304.0</v>
      </c>
      <c r="D79" s="5" t="s">
        <v>13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163</v>
      </c>
      <c r="B80" s="2" t="s">
        <v>164</v>
      </c>
      <c r="C80" s="6">
        <v>8521.0</v>
      </c>
      <c r="D80" s="5" t="s">
        <v>10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165</v>
      </c>
      <c r="B81" s="2" t="s">
        <v>166</v>
      </c>
      <c r="C81" s="6">
        <v>9004.0</v>
      </c>
      <c r="D81" s="5" t="s">
        <v>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167</v>
      </c>
      <c r="B82" s="2" t="s">
        <v>168</v>
      </c>
      <c r="C82" s="6">
        <v>6818.0</v>
      </c>
      <c r="D82" s="5" t="s">
        <v>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169</v>
      </c>
      <c r="B83" s="2" t="s">
        <v>170</v>
      </c>
      <c r="C83" s="6">
        <v>8253.0</v>
      </c>
      <c r="D83" s="5" t="s">
        <v>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171</v>
      </c>
      <c r="B84" s="2" t="s">
        <v>172</v>
      </c>
      <c r="C84" s="6">
        <v>4525.0</v>
      </c>
      <c r="D84" s="5" t="s">
        <v>10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173</v>
      </c>
      <c r="B85" s="2" t="s">
        <v>174</v>
      </c>
      <c r="C85" s="6">
        <v>8932.0</v>
      </c>
      <c r="D85" s="5" t="s">
        <v>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175</v>
      </c>
      <c r="B86" s="2" t="s">
        <v>176</v>
      </c>
      <c r="C86" s="6">
        <v>6255.0</v>
      </c>
      <c r="D86" s="5" t="s">
        <v>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177</v>
      </c>
      <c r="B87" s="2" t="s">
        <v>178</v>
      </c>
      <c r="C87" s="6">
        <v>4078.0</v>
      </c>
      <c r="D87" s="5" t="s">
        <v>13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179</v>
      </c>
      <c r="B88" s="2" t="s">
        <v>180</v>
      </c>
      <c r="C88" s="6">
        <v>5986.0</v>
      </c>
      <c r="D88" s="5" t="s">
        <v>10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181</v>
      </c>
      <c r="B89" s="2" t="s">
        <v>182</v>
      </c>
      <c r="C89" s="6">
        <v>2976.0</v>
      </c>
      <c r="D89" s="5" t="s">
        <v>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183</v>
      </c>
      <c r="B90" s="2" t="s">
        <v>184</v>
      </c>
      <c r="C90" s="6">
        <v>5519.0</v>
      </c>
      <c r="D90" s="5" t="s">
        <v>10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185</v>
      </c>
      <c r="B91" s="2" t="s">
        <v>186</v>
      </c>
      <c r="C91" s="6">
        <v>2780.0</v>
      </c>
      <c r="D91" s="5" t="s">
        <v>13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187</v>
      </c>
      <c r="B92" s="2" t="s">
        <v>188</v>
      </c>
      <c r="C92" s="6">
        <v>559.0</v>
      </c>
      <c r="D92" s="5" t="s">
        <v>13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189</v>
      </c>
      <c r="B93" s="2" t="s">
        <v>190</v>
      </c>
      <c r="C93" s="6">
        <v>610.0</v>
      </c>
      <c r="D93" s="5" t="s">
        <v>13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191</v>
      </c>
      <c r="B94" s="2" t="s">
        <v>192</v>
      </c>
      <c r="C94" s="6">
        <v>9775.0</v>
      </c>
      <c r="D94" s="5" t="s">
        <v>13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193</v>
      </c>
      <c r="B95" s="2" t="s">
        <v>194</v>
      </c>
      <c r="C95" s="6">
        <v>9280.0</v>
      </c>
      <c r="D95" s="5" t="s">
        <v>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195</v>
      </c>
      <c r="B96" s="2" t="s">
        <v>196</v>
      </c>
      <c r="C96" s="6">
        <v>2868.0</v>
      </c>
      <c r="D96" s="5" t="s">
        <v>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197</v>
      </c>
      <c r="B97" s="2" t="s">
        <v>198</v>
      </c>
      <c r="C97" s="6">
        <v>1401.0</v>
      </c>
      <c r="D97" s="5" t="s">
        <v>13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199</v>
      </c>
      <c r="B98" s="2" t="s">
        <v>200</v>
      </c>
      <c r="C98" s="6">
        <v>4498.0</v>
      </c>
      <c r="D98" s="5" t="s">
        <v>10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201</v>
      </c>
      <c r="B99" s="2" t="s">
        <v>202</v>
      </c>
      <c r="C99" s="6">
        <v>5409.0</v>
      </c>
      <c r="D99" s="5" t="s">
        <v>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203</v>
      </c>
      <c r="B100" s="2" t="s">
        <v>204</v>
      </c>
      <c r="C100" s="6">
        <v>1099.0</v>
      </c>
      <c r="D100" s="5" t="s">
        <v>10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205</v>
      </c>
      <c r="B101" s="2" t="s">
        <v>206</v>
      </c>
      <c r="C101" s="6">
        <v>765.0</v>
      </c>
      <c r="D101" s="5" t="s">
        <v>10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2"/>
      <c r="C102" s="10"/>
      <c r="D102" s="5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2"/>
      <c r="C103" s="10"/>
      <c r="D103" s="5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2"/>
      <c r="C104" s="10"/>
      <c r="D104" s="5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2"/>
      <c r="C105" s="10"/>
      <c r="D105" s="5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2"/>
      <c r="C106" s="10"/>
      <c r="D106" s="5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2"/>
      <c r="C107" s="10"/>
      <c r="D107" s="5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2"/>
      <c r="C108" s="10"/>
      <c r="D108" s="5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2"/>
      <c r="C109" s="10"/>
      <c r="D109" s="5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2"/>
      <c r="C110" s="10"/>
      <c r="D110" s="5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2"/>
      <c r="C111" s="10"/>
      <c r="D111" s="5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2"/>
      <c r="C112" s="10"/>
      <c r="D112" s="5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2"/>
      <c r="C113" s="10"/>
      <c r="D113" s="5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2"/>
      <c r="C114" s="10"/>
      <c r="D114" s="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2"/>
      <c r="C115" s="10"/>
      <c r="D115" s="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2"/>
      <c r="C116" s="10"/>
      <c r="D116" s="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2"/>
      <c r="C117" s="10"/>
      <c r="D117" s="5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2"/>
      <c r="C118" s="10"/>
      <c r="D118" s="5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2"/>
      <c r="C119" s="10"/>
      <c r="D119" s="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2"/>
      <c r="C120" s="10"/>
      <c r="D120" s="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2"/>
      <c r="C121" s="10"/>
      <c r="D121" s="5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2"/>
      <c r="C122" s="10"/>
      <c r="D122" s="5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2"/>
      <c r="C123" s="10"/>
      <c r="D123" s="5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2"/>
      <c r="C124" s="10"/>
      <c r="D124" s="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2"/>
      <c r="C125" s="10"/>
      <c r="D125" s="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2"/>
      <c r="C126" s="10"/>
      <c r="D126" s="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2"/>
      <c r="C127" s="10"/>
      <c r="D127" s="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2"/>
      <c r="C128" s="10"/>
      <c r="D128" s="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2"/>
      <c r="C129" s="10"/>
      <c r="D129" s="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2"/>
      <c r="C130" s="10"/>
      <c r="D130" s="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2"/>
      <c r="C131" s="10"/>
      <c r="D131" s="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2"/>
      <c r="C132" s="10"/>
      <c r="D132" s="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2"/>
      <c r="C133" s="10"/>
      <c r="D133" s="5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2"/>
      <c r="C134" s="10"/>
      <c r="D134" s="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2"/>
      <c r="C135" s="10"/>
      <c r="D135" s="5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2"/>
      <c r="C136" s="10"/>
      <c r="D136" s="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2"/>
      <c r="C137" s="10"/>
      <c r="D137" s="5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2"/>
      <c r="C138" s="10"/>
      <c r="D138" s="5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2"/>
      <c r="C139" s="10"/>
      <c r="D139" s="5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2"/>
      <c r="C140" s="10"/>
      <c r="D140" s="5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2"/>
      <c r="C141" s="10"/>
      <c r="D141" s="5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2"/>
      <c r="C142" s="10"/>
      <c r="D142" s="5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2"/>
      <c r="C143" s="10"/>
      <c r="D143" s="5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2"/>
      <c r="C144" s="10"/>
      <c r="D144" s="5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2"/>
      <c r="C145" s="10"/>
      <c r="D145" s="5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2"/>
      <c r="C146" s="10"/>
      <c r="D146" s="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2"/>
      <c r="C147" s="10"/>
      <c r="D147" s="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2"/>
      <c r="C148" s="10"/>
      <c r="D148" s="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2"/>
      <c r="C149" s="10"/>
      <c r="D149" s="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2"/>
      <c r="C150" s="10"/>
      <c r="D150" s="5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2"/>
      <c r="C151" s="10"/>
      <c r="D151" s="5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2"/>
      <c r="C152" s="10"/>
      <c r="D152" s="5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2"/>
      <c r="C153" s="10"/>
      <c r="D153" s="5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2"/>
      <c r="C154" s="10"/>
      <c r="D154" s="5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2"/>
      <c r="C155" s="10"/>
      <c r="D155" s="5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2"/>
      <c r="C156" s="10"/>
      <c r="D156" s="5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2"/>
      <c r="C157" s="10"/>
      <c r="D157" s="5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2"/>
      <c r="C158" s="10"/>
      <c r="D158" s="5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2"/>
      <c r="C159" s="10"/>
      <c r="D159" s="5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2"/>
      <c r="C160" s="10"/>
      <c r="D160" s="5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2"/>
      <c r="C161" s="10"/>
      <c r="D161" s="5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2"/>
      <c r="C162" s="10"/>
      <c r="D162" s="5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2"/>
      <c r="C163" s="10"/>
      <c r="D163" s="5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2"/>
      <c r="C164" s="10"/>
      <c r="D164" s="5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2"/>
      <c r="C165" s="10"/>
      <c r="D165" s="5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2"/>
      <c r="C166" s="10"/>
      <c r="D166" s="5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2"/>
      <c r="C167" s="10"/>
      <c r="D167" s="5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2"/>
      <c r="C168" s="10"/>
      <c r="D168" s="5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2"/>
      <c r="C169" s="10"/>
      <c r="D169" s="5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2"/>
      <c r="C170" s="10"/>
      <c r="D170" s="5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2"/>
      <c r="C171" s="10"/>
      <c r="D171" s="5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2"/>
      <c r="C172" s="10"/>
      <c r="D172" s="5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2"/>
      <c r="C173" s="10"/>
      <c r="D173" s="5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2"/>
      <c r="C174" s="10"/>
      <c r="D174" s="5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2"/>
      <c r="C175" s="10"/>
      <c r="D175" s="5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2"/>
      <c r="C176" s="10"/>
      <c r="D176" s="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2"/>
      <c r="C177" s="10"/>
      <c r="D177" s="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2"/>
      <c r="C178" s="10"/>
      <c r="D178" s="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2"/>
      <c r="C179" s="10"/>
      <c r="D179" s="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2"/>
      <c r="C180" s="10"/>
      <c r="D180" s="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2"/>
      <c r="C181" s="10"/>
      <c r="D181" s="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2"/>
      <c r="C182" s="10"/>
      <c r="D182" s="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2"/>
      <c r="C183" s="10"/>
      <c r="D183" s="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2"/>
      <c r="C184" s="10"/>
      <c r="D184" s="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2"/>
      <c r="C185" s="10"/>
      <c r="D185" s="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2"/>
      <c r="C186" s="10"/>
      <c r="D186" s="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2"/>
      <c r="C187" s="10"/>
      <c r="D187" s="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2"/>
      <c r="C188" s="10"/>
      <c r="D188" s="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2"/>
      <c r="C189" s="10"/>
      <c r="D189" s="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2"/>
      <c r="C190" s="10"/>
      <c r="D190" s="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2"/>
      <c r="C191" s="10"/>
      <c r="D191" s="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2"/>
      <c r="C192" s="10"/>
      <c r="D192" s="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2"/>
      <c r="C193" s="10"/>
      <c r="D193" s="5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2"/>
      <c r="C194" s="10"/>
      <c r="D194" s="5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2"/>
      <c r="C195" s="10"/>
      <c r="D195" s="5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2"/>
      <c r="C196" s="10"/>
      <c r="D196" s="5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2"/>
      <c r="C197" s="10"/>
      <c r="D197" s="5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2"/>
      <c r="C198" s="10"/>
      <c r="D198" s="5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2"/>
      <c r="C199" s="10"/>
      <c r="D199" s="5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2"/>
      <c r="C200" s="10"/>
      <c r="D200" s="5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2"/>
      <c r="C201" s="10"/>
      <c r="D201" s="5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2"/>
      <c r="C202" s="10"/>
      <c r="D202" s="5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2"/>
      <c r="C203" s="10"/>
      <c r="D203" s="5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2"/>
      <c r="C204" s="10"/>
      <c r="D204" s="5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2"/>
      <c r="C205" s="10"/>
      <c r="D205" s="5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2"/>
      <c r="C206" s="10"/>
      <c r="D206" s="5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2"/>
      <c r="C207" s="10"/>
      <c r="D207" s="5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2"/>
      <c r="C208" s="10"/>
      <c r="D208" s="5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2"/>
      <c r="C209" s="10"/>
      <c r="D209" s="5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2"/>
      <c r="C210" s="10"/>
      <c r="D210" s="5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2"/>
      <c r="C211" s="10"/>
      <c r="D211" s="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2"/>
      <c r="C212" s="10"/>
      <c r="D212" s="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2"/>
      <c r="C213" s="10"/>
      <c r="D213" s="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2"/>
      <c r="C214" s="10"/>
      <c r="D214" s="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2"/>
      <c r="C215" s="10"/>
      <c r="D215" s="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2"/>
      <c r="C216" s="10"/>
      <c r="D216" s="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2"/>
      <c r="C217" s="10"/>
      <c r="D217" s="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2"/>
      <c r="C218" s="10"/>
      <c r="D218" s="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2"/>
      <c r="C219" s="10"/>
      <c r="D219" s="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2"/>
      <c r="C220" s="10"/>
      <c r="D220" s="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2"/>
      <c r="C221" s="10"/>
      <c r="D221" s="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2"/>
      <c r="C222" s="10"/>
      <c r="D222" s="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2"/>
      <c r="C223" s="10"/>
      <c r="D223" s="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2"/>
      <c r="C224" s="10"/>
      <c r="D224" s="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2"/>
      <c r="C225" s="10"/>
      <c r="D225" s="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2"/>
      <c r="C226" s="10"/>
      <c r="D226" s="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2"/>
      <c r="C227" s="10"/>
      <c r="D227" s="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2"/>
      <c r="C228" s="10"/>
      <c r="D228" s="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2"/>
      <c r="C229" s="10"/>
      <c r="D229" s="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2"/>
      <c r="C230" s="10"/>
      <c r="D230" s="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2"/>
      <c r="C231" s="10"/>
      <c r="D231" s="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2"/>
      <c r="C232" s="10"/>
      <c r="D232" s="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2"/>
      <c r="C233" s="10"/>
      <c r="D233" s="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2"/>
      <c r="C234" s="10"/>
      <c r="D234" s="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2"/>
      <c r="C235" s="10"/>
      <c r="D235" s="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2"/>
      <c r="C236" s="10"/>
      <c r="D236" s="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2"/>
      <c r="C237" s="10"/>
      <c r="D237" s="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2"/>
      <c r="C238" s="10"/>
      <c r="D238" s="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2"/>
      <c r="C239" s="10"/>
      <c r="D239" s="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2"/>
      <c r="C240" s="10"/>
      <c r="D240" s="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2"/>
      <c r="C241" s="10"/>
      <c r="D241" s="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2"/>
      <c r="C242" s="10"/>
      <c r="D242" s="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2"/>
      <c r="C243" s="10"/>
      <c r="D243" s="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2"/>
      <c r="C244" s="10"/>
      <c r="D244" s="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2"/>
      <c r="C245" s="10"/>
      <c r="D245" s="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2"/>
      <c r="C246" s="10"/>
      <c r="D246" s="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2"/>
      <c r="C247" s="10"/>
      <c r="D247" s="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2"/>
      <c r="C248" s="10"/>
      <c r="D248" s="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2"/>
      <c r="C249" s="10"/>
      <c r="D249" s="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2"/>
      <c r="C250" s="10"/>
      <c r="D250" s="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2"/>
      <c r="C251" s="10"/>
      <c r="D251" s="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2"/>
      <c r="C252" s="10"/>
      <c r="D252" s="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2"/>
      <c r="C253" s="10"/>
      <c r="D253" s="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2"/>
      <c r="C254" s="10"/>
      <c r="D254" s="5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2"/>
      <c r="C255" s="10"/>
      <c r="D255" s="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2"/>
      <c r="C256" s="10"/>
      <c r="D256" s="5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2"/>
      <c r="C257" s="10"/>
      <c r="D257" s="5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2"/>
      <c r="C258" s="10"/>
      <c r="D258" s="5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2"/>
      <c r="C259" s="10"/>
      <c r="D259" s="5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2"/>
      <c r="C260" s="10"/>
      <c r="D260" s="5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10"/>
      <c r="D261" s="5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10"/>
      <c r="D262" s="5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10"/>
      <c r="D263" s="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10"/>
      <c r="D264" s="5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10"/>
      <c r="D265" s="5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10"/>
      <c r="D266" s="5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10"/>
      <c r="D267" s="5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10"/>
      <c r="D268" s="5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10"/>
      <c r="D269" s="5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10"/>
      <c r="D270" s="5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10"/>
      <c r="D271" s="5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10"/>
      <c r="D272" s="5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10"/>
      <c r="D273" s="5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10"/>
      <c r="D274" s="5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10"/>
      <c r="D275" s="5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10"/>
      <c r="D276" s="5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10"/>
      <c r="D277" s="5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10"/>
      <c r="D278" s="5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10"/>
      <c r="D279" s="5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10"/>
      <c r="D280" s="5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10"/>
      <c r="D281" s="5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10"/>
      <c r="D282" s="5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10"/>
      <c r="D283" s="5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10"/>
      <c r="D284" s="5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10"/>
      <c r="D285" s="5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10"/>
      <c r="D286" s="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10"/>
      <c r="D287" s="5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10"/>
      <c r="D288" s="5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10"/>
      <c r="D289" s="5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10"/>
      <c r="D290" s="5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10"/>
      <c r="D291" s="5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10"/>
      <c r="D292" s="5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10"/>
      <c r="D293" s="5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10"/>
      <c r="D294" s="5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10"/>
      <c r="D295" s="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10"/>
      <c r="D296" s="5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10"/>
      <c r="D297" s="5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10"/>
      <c r="D298" s="5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10"/>
      <c r="D299" s="5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10"/>
      <c r="D300" s="5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10"/>
      <c r="D301" s="5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F2">
      <formula1>$B$2:$B$101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3.57"/>
    <col customWidth="1" min="6" max="6" width="9.14"/>
    <col customWidth="1" min="7" max="8" width="16.71"/>
    <col customWidth="1" min="9" max="26" width="9.14"/>
  </cols>
  <sheetData>
    <row r="1">
      <c r="A1" s="1" t="s">
        <v>0</v>
      </c>
      <c r="B1" s="1" t="s">
        <v>207</v>
      </c>
      <c r="C1" s="1" t="s">
        <v>208</v>
      </c>
      <c r="D1" s="1" t="s">
        <v>2</v>
      </c>
      <c r="E1" s="1" t="s">
        <v>3</v>
      </c>
      <c r="F1" s="2"/>
      <c r="G1" s="3" t="s">
        <v>1</v>
      </c>
      <c r="H1" s="4" t="s">
        <v>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</v>
      </c>
      <c r="B2" s="2" t="s">
        <v>5</v>
      </c>
      <c r="C2" s="2" t="s">
        <v>209</v>
      </c>
      <c r="D2" s="6">
        <v>2434.0</v>
      </c>
      <c r="E2" s="5" t="s">
        <v>6</v>
      </c>
      <c r="F2" s="2"/>
      <c r="G2" s="7" t="s">
        <v>210</v>
      </c>
      <c r="H2" s="9" t="str">
        <f t="array" ref="H2">XLOOKUP(G2,B:B,E:E,"Não encontrado")</f>
        <v>Não encontrado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8</v>
      </c>
      <c r="B3" s="2" t="s">
        <v>9</v>
      </c>
      <c r="C3" s="2"/>
      <c r="D3" s="6">
        <v>8222.0</v>
      </c>
      <c r="E3" s="5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11</v>
      </c>
      <c r="B4" s="2" t="s">
        <v>12</v>
      </c>
      <c r="C4" s="2"/>
      <c r="D4" s="6">
        <v>1016.0</v>
      </c>
      <c r="E4" s="5" t="s">
        <v>13</v>
      </c>
      <c r="F4" s="2"/>
      <c r="G4" s="3" t="s">
        <v>1</v>
      </c>
      <c r="H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14</v>
      </c>
      <c r="B5" s="2" t="s">
        <v>15</v>
      </c>
      <c r="C5" s="2"/>
      <c r="D5" s="6">
        <v>6531.0</v>
      </c>
      <c r="E5" s="5" t="s">
        <v>13</v>
      </c>
      <c r="F5" s="2"/>
      <c r="G5" s="7" t="s">
        <v>209</v>
      </c>
      <c r="H5" s="9" t="str">
        <f t="array" ref="H5">XLOOKUP(G5,B:B,E:E,XLOOKUP(G5,C:C,E:E,"Não encontrado"))</f>
        <v>Delta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16</v>
      </c>
      <c r="B6" s="2" t="s">
        <v>17</v>
      </c>
      <c r="C6" s="2"/>
      <c r="D6" s="6">
        <v>8521.0</v>
      </c>
      <c r="E6" s="5" t="s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18</v>
      </c>
      <c r="B7" s="2" t="s">
        <v>19</v>
      </c>
      <c r="C7" s="2" t="s">
        <v>211</v>
      </c>
      <c r="D7" s="6">
        <v>2924.0</v>
      </c>
      <c r="E7" s="5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20</v>
      </c>
      <c r="B8" s="2" t="s">
        <v>21</v>
      </c>
      <c r="C8" s="2"/>
      <c r="D8" s="6">
        <v>1232.0</v>
      </c>
      <c r="E8" s="5" t="s">
        <v>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22</v>
      </c>
      <c r="B9" s="2" t="s">
        <v>23</v>
      </c>
      <c r="C9" s="2"/>
      <c r="D9" s="6">
        <v>948.0</v>
      </c>
      <c r="E9" s="5" t="s">
        <v>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24</v>
      </c>
      <c r="B10" s="2" t="s">
        <v>25</v>
      </c>
      <c r="C10" s="2"/>
      <c r="D10" s="6">
        <v>1750.0</v>
      </c>
      <c r="E10" s="5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26</v>
      </c>
      <c r="B11" s="2" t="s">
        <v>27</v>
      </c>
      <c r="C11" s="2"/>
      <c r="D11" s="6">
        <v>7918.0</v>
      </c>
      <c r="E11" s="5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28</v>
      </c>
      <c r="B12" s="2" t="s">
        <v>29</v>
      </c>
      <c r="C12" s="2" t="s">
        <v>212</v>
      </c>
      <c r="D12" s="6">
        <v>1370.0</v>
      </c>
      <c r="E12" s="5" t="s">
        <v>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30</v>
      </c>
      <c r="B13" s="2" t="s">
        <v>31</v>
      </c>
      <c r="C13" s="2"/>
      <c r="D13" s="6">
        <v>9365.0</v>
      </c>
      <c r="E13" s="5" t="s">
        <v>13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32</v>
      </c>
      <c r="B14" s="2" t="s">
        <v>33</v>
      </c>
      <c r="C14" s="2"/>
      <c r="D14" s="6">
        <v>6228.0</v>
      </c>
      <c r="E14" s="5" t="s">
        <v>13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34</v>
      </c>
      <c r="B15" s="2" t="s">
        <v>35</v>
      </c>
      <c r="C15" s="2"/>
      <c r="D15" s="6">
        <v>1248.0</v>
      </c>
      <c r="E15" s="5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36</v>
      </c>
      <c r="B16" s="2" t="s">
        <v>37</v>
      </c>
      <c r="C16" s="2" t="s">
        <v>213</v>
      </c>
      <c r="D16" s="6">
        <v>5828.0</v>
      </c>
      <c r="E16" s="5" t="s">
        <v>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38</v>
      </c>
      <c r="B17" s="2" t="s">
        <v>39</v>
      </c>
      <c r="C17" s="2"/>
      <c r="D17" s="6">
        <v>5701.0</v>
      </c>
      <c r="E17" s="5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40</v>
      </c>
      <c r="B18" s="2" t="s">
        <v>41</v>
      </c>
      <c r="C18" s="2"/>
      <c r="D18" s="6">
        <v>7500.0</v>
      </c>
      <c r="E18" s="5" t="s">
        <v>13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42</v>
      </c>
      <c r="B19" s="2" t="s">
        <v>43</v>
      </c>
      <c r="C19" s="2"/>
      <c r="D19" s="6">
        <v>5565.0</v>
      </c>
      <c r="E19" s="5" t="s">
        <v>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44</v>
      </c>
      <c r="B20" s="2" t="s">
        <v>45</v>
      </c>
      <c r="C20" s="2" t="s">
        <v>214</v>
      </c>
      <c r="D20" s="6">
        <v>5900.0</v>
      </c>
      <c r="E20" s="5" t="s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46</v>
      </c>
      <c r="B21" s="2" t="s">
        <v>47</v>
      </c>
      <c r="C21" s="2"/>
      <c r="D21" s="6">
        <v>608.0</v>
      </c>
      <c r="E21" s="5" t="s">
        <v>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48</v>
      </c>
      <c r="B22" s="2" t="s">
        <v>7</v>
      </c>
      <c r="C22" s="2"/>
      <c r="D22" s="6">
        <v>819.0</v>
      </c>
      <c r="E22" s="5" t="s">
        <v>13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49</v>
      </c>
      <c r="B23" s="2" t="s">
        <v>50</v>
      </c>
      <c r="C23" s="2" t="s">
        <v>215</v>
      </c>
      <c r="D23" s="6">
        <v>564.0</v>
      </c>
      <c r="E23" s="5" t="s">
        <v>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51</v>
      </c>
      <c r="B24" s="2" t="s">
        <v>52</v>
      </c>
      <c r="C24" s="2"/>
      <c r="D24" s="6">
        <v>7861.0</v>
      </c>
      <c r="E24" s="5" t="s">
        <v>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53</v>
      </c>
      <c r="B25" s="2" t="s">
        <v>54</v>
      </c>
      <c r="C25" s="2"/>
      <c r="D25" s="6">
        <v>731.0</v>
      </c>
      <c r="E25" s="5" t="s">
        <v>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55</v>
      </c>
      <c r="B26" s="2" t="s">
        <v>56</v>
      </c>
      <c r="C26" s="2"/>
      <c r="D26" s="6">
        <v>7150.0</v>
      </c>
      <c r="E26" s="5" t="s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57</v>
      </c>
      <c r="B27" s="2" t="s">
        <v>58</v>
      </c>
      <c r="C27" s="2"/>
      <c r="D27" s="6">
        <v>9927.0</v>
      </c>
      <c r="E27" s="5" t="s">
        <v>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59</v>
      </c>
      <c r="B28" s="2" t="s">
        <v>60</v>
      </c>
      <c r="C28" s="2"/>
      <c r="D28" s="6">
        <v>2219.0</v>
      </c>
      <c r="E28" s="5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61</v>
      </c>
      <c r="B29" s="2" t="s">
        <v>62</v>
      </c>
      <c r="C29" s="2"/>
      <c r="D29" s="6">
        <v>3079.0</v>
      </c>
      <c r="E29" s="5" t="s">
        <v>13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63</v>
      </c>
      <c r="B30" s="2" t="s">
        <v>64</v>
      </c>
      <c r="C30" s="2"/>
      <c r="D30" s="6">
        <v>7887.0</v>
      </c>
      <c r="E30" s="5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65</v>
      </c>
      <c r="B31" s="2" t="s">
        <v>66</v>
      </c>
      <c r="C31" s="2" t="s">
        <v>216</v>
      </c>
      <c r="D31" s="6">
        <v>6912.0</v>
      </c>
      <c r="E31" s="5" t="s">
        <v>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67</v>
      </c>
      <c r="B32" s="2" t="s">
        <v>68</v>
      </c>
      <c r="C32" s="2"/>
      <c r="D32" s="6">
        <v>6202.0</v>
      </c>
      <c r="E32" s="5" t="s">
        <v>10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69</v>
      </c>
      <c r="B33" s="2" t="s">
        <v>70</v>
      </c>
      <c r="C33" s="2"/>
      <c r="D33" s="6">
        <v>3042.0</v>
      </c>
      <c r="E33" s="5" t="s">
        <v>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71</v>
      </c>
      <c r="B34" s="2" t="s">
        <v>72</v>
      </c>
      <c r="C34" s="2"/>
      <c r="D34" s="6">
        <v>1430.0</v>
      </c>
      <c r="E34" s="5" t="s">
        <v>10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73</v>
      </c>
      <c r="B35" s="2" t="s">
        <v>74</v>
      </c>
      <c r="C35" s="2"/>
      <c r="D35" s="6">
        <v>2892.0</v>
      </c>
      <c r="E35" s="5" t="s">
        <v>10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75</v>
      </c>
      <c r="B36" s="2" t="s">
        <v>76</v>
      </c>
      <c r="C36" s="2"/>
      <c r="D36" s="6">
        <v>9172.0</v>
      </c>
      <c r="E36" s="5" t="s">
        <v>13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77</v>
      </c>
      <c r="B37" s="2" t="s">
        <v>78</v>
      </c>
      <c r="C37" s="2"/>
      <c r="D37" s="6">
        <v>357.0</v>
      </c>
      <c r="E37" s="5" t="s">
        <v>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79</v>
      </c>
      <c r="B38" s="2" t="s">
        <v>80</v>
      </c>
      <c r="C38" s="2"/>
      <c r="D38" s="6">
        <v>619.0</v>
      </c>
      <c r="E38" s="5" t="s">
        <v>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81</v>
      </c>
      <c r="B39" s="2" t="s">
        <v>82</v>
      </c>
      <c r="C39" s="2"/>
      <c r="D39" s="6">
        <v>7088.0</v>
      </c>
      <c r="E39" s="5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83</v>
      </c>
      <c r="B40" s="2" t="s">
        <v>84</v>
      </c>
      <c r="C40" s="2"/>
      <c r="D40" s="6">
        <v>9380.0</v>
      </c>
      <c r="E40" s="5" t="s">
        <v>10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85</v>
      </c>
      <c r="B41" s="2" t="s">
        <v>86</v>
      </c>
      <c r="C41" s="2"/>
      <c r="D41" s="6">
        <v>3330.0</v>
      </c>
      <c r="E41" s="5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87</v>
      </c>
      <c r="B42" s="2" t="s">
        <v>88</v>
      </c>
      <c r="C42" s="2"/>
      <c r="D42" s="6">
        <v>9746.0</v>
      </c>
      <c r="E42" s="5" t="s">
        <v>13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89</v>
      </c>
      <c r="B43" s="2" t="s">
        <v>90</v>
      </c>
      <c r="C43" s="2"/>
      <c r="D43" s="6">
        <v>9226.0</v>
      </c>
      <c r="E43" s="5" t="s">
        <v>13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91</v>
      </c>
      <c r="B44" s="2" t="s">
        <v>92</v>
      </c>
      <c r="C44" s="2"/>
      <c r="D44" s="6">
        <v>5808.0</v>
      </c>
      <c r="E44" s="5" t="s">
        <v>13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93</v>
      </c>
      <c r="B45" s="2" t="s">
        <v>94</v>
      </c>
      <c r="C45" s="2"/>
      <c r="D45" s="6">
        <v>6838.0</v>
      </c>
      <c r="E45" s="5" t="s">
        <v>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95</v>
      </c>
      <c r="B46" s="2" t="s">
        <v>96</v>
      </c>
      <c r="C46" s="2"/>
      <c r="D46" s="6">
        <v>6330.0</v>
      </c>
      <c r="E46" s="5" t="s">
        <v>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97</v>
      </c>
      <c r="B47" s="2" t="s">
        <v>98</v>
      </c>
      <c r="C47" s="2" t="s">
        <v>217</v>
      </c>
      <c r="D47" s="6">
        <v>701.0</v>
      </c>
      <c r="E47" s="5" t="s">
        <v>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99</v>
      </c>
      <c r="B48" s="2" t="s">
        <v>100</v>
      </c>
      <c r="C48" s="2"/>
      <c r="D48" s="6">
        <v>7196.0</v>
      </c>
      <c r="E48" s="5" t="s">
        <v>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101</v>
      </c>
      <c r="B49" s="2" t="s">
        <v>102</v>
      </c>
      <c r="C49" s="2"/>
      <c r="D49" s="6">
        <v>6864.0</v>
      </c>
      <c r="E49" s="5" t="s">
        <v>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103</v>
      </c>
      <c r="B50" s="2" t="s">
        <v>104</v>
      </c>
      <c r="C50" s="2"/>
      <c r="D50" s="6">
        <v>1587.0</v>
      </c>
      <c r="E50" s="5" t="s">
        <v>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105</v>
      </c>
      <c r="B51" s="2" t="s">
        <v>106</v>
      </c>
      <c r="C51" s="2"/>
      <c r="D51" s="6">
        <v>4717.0</v>
      </c>
      <c r="E51" s="5" t="s">
        <v>13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107</v>
      </c>
      <c r="B52" s="2" t="s">
        <v>108</v>
      </c>
      <c r="C52" s="2"/>
      <c r="D52" s="6">
        <v>6880.0</v>
      </c>
      <c r="E52" s="5" t="s">
        <v>10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109</v>
      </c>
      <c r="B53" s="2" t="s">
        <v>110</v>
      </c>
      <c r="C53" s="2"/>
      <c r="D53" s="6">
        <v>4853.0</v>
      </c>
      <c r="E53" s="5" t="s">
        <v>13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111</v>
      </c>
      <c r="B54" s="2" t="s">
        <v>112</v>
      </c>
      <c r="C54" s="2"/>
      <c r="D54" s="6">
        <v>801.0</v>
      </c>
      <c r="E54" s="5" t="s">
        <v>10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113</v>
      </c>
      <c r="B55" s="2" t="s">
        <v>114</v>
      </c>
      <c r="C55" s="2"/>
      <c r="D55" s="6">
        <v>1928.0</v>
      </c>
      <c r="E55" s="5" t="s">
        <v>13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115</v>
      </c>
      <c r="B56" s="2" t="s">
        <v>116</v>
      </c>
      <c r="C56" s="2"/>
      <c r="D56" s="6">
        <v>1028.0</v>
      </c>
      <c r="E56" s="5" t="s">
        <v>13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117</v>
      </c>
      <c r="B57" s="2" t="s">
        <v>118</v>
      </c>
      <c r="C57" s="2"/>
      <c r="D57" s="6">
        <v>5895.0</v>
      </c>
      <c r="E57" s="5" t="s">
        <v>10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119</v>
      </c>
      <c r="B58" s="2" t="s">
        <v>120</v>
      </c>
      <c r="C58" s="2"/>
      <c r="D58" s="6">
        <v>6489.0</v>
      </c>
      <c r="E58" s="5" t="s">
        <v>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121</v>
      </c>
      <c r="B59" s="2" t="s">
        <v>122</v>
      </c>
      <c r="C59" s="2"/>
      <c r="D59" s="6">
        <v>9959.0</v>
      </c>
      <c r="E59" s="5" t="s">
        <v>10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123</v>
      </c>
      <c r="B60" s="2" t="s">
        <v>124</v>
      </c>
      <c r="C60" s="2"/>
      <c r="D60" s="6">
        <v>620.0</v>
      </c>
      <c r="E60" s="5" t="s">
        <v>13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125</v>
      </c>
      <c r="B61" s="2" t="s">
        <v>126</v>
      </c>
      <c r="C61" s="2"/>
      <c r="D61" s="6">
        <v>7231.0</v>
      </c>
      <c r="E61" s="5" t="s">
        <v>13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127</v>
      </c>
      <c r="B62" s="2" t="s">
        <v>128</v>
      </c>
      <c r="C62" s="2"/>
      <c r="D62" s="6">
        <v>4548.0</v>
      </c>
      <c r="E62" s="5" t="s">
        <v>13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129</v>
      </c>
      <c r="B63" s="2" t="s">
        <v>130</v>
      </c>
      <c r="C63" s="2"/>
      <c r="D63" s="6">
        <v>7846.0</v>
      </c>
      <c r="E63" s="5" t="s">
        <v>10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131</v>
      </c>
      <c r="B64" s="2" t="s">
        <v>132</v>
      </c>
      <c r="C64" s="2"/>
      <c r="D64" s="6">
        <v>7573.0</v>
      </c>
      <c r="E64" s="5" t="s">
        <v>13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133</v>
      </c>
      <c r="B65" s="2" t="s">
        <v>134</v>
      </c>
      <c r="C65" s="2"/>
      <c r="D65" s="6">
        <v>6785.0</v>
      </c>
      <c r="E65" s="5" t="s">
        <v>13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135</v>
      </c>
      <c r="B66" s="2" t="s">
        <v>136</v>
      </c>
      <c r="C66" s="2" t="s">
        <v>218</v>
      </c>
      <c r="D66" s="6">
        <v>7699.0</v>
      </c>
      <c r="E66" s="5" t="s">
        <v>13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137</v>
      </c>
      <c r="B67" s="2" t="s">
        <v>138</v>
      </c>
      <c r="C67" s="2"/>
      <c r="D67" s="6">
        <v>6281.0</v>
      </c>
      <c r="E67" s="5" t="s">
        <v>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139</v>
      </c>
      <c r="B68" s="2" t="s">
        <v>140</v>
      </c>
      <c r="C68" s="2"/>
      <c r="D68" s="6">
        <v>959.0</v>
      </c>
      <c r="E68" s="5" t="s">
        <v>13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141</v>
      </c>
      <c r="B69" s="2" t="s">
        <v>142</v>
      </c>
      <c r="C69" s="2"/>
      <c r="D69" s="6">
        <v>9644.0</v>
      </c>
      <c r="E69" s="5" t="s">
        <v>13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143</v>
      </c>
      <c r="B70" s="2" t="s">
        <v>144</v>
      </c>
      <c r="C70" s="2"/>
      <c r="D70" s="6">
        <v>5728.0</v>
      </c>
      <c r="E70" s="5" t="s">
        <v>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145</v>
      </c>
      <c r="B71" s="2" t="s">
        <v>146</v>
      </c>
      <c r="C71" s="2"/>
      <c r="D71" s="6">
        <v>9216.0</v>
      </c>
      <c r="E71" s="5" t="s">
        <v>13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147</v>
      </c>
      <c r="B72" s="2" t="s">
        <v>148</v>
      </c>
      <c r="C72" s="2"/>
      <c r="D72" s="6">
        <v>2985.0</v>
      </c>
      <c r="E72" s="5" t="s">
        <v>13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149</v>
      </c>
      <c r="B73" s="2" t="s">
        <v>150</v>
      </c>
      <c r="C73" s="2"/>
      <c r="D73" s="6">
        <v>8403.0</v>
      </c>
      <c r="E73" s="5" t="s">
        <v>10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151</v>
      </c>
      <c r="B74" s="2" t="s">
        <v>152</v>
      </c>
      <c r="C74" s="2"/>
      <c r="D74" s="6">
        <v>8250.0</v>
      </c>
      <c r="E74" s="5" t="s">
        <v>13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153</v>
      </c>
      <c r="B75" s="2" t="s">
        <v>154</v>
      </c>
      <c r="C75" s="2"/>
      <c r="D75" s="6">
        <v>3185.0</v>
      </c>
      <c r="E75" s="5" t="s">
        <v>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155</v>
      </c>
      <c r="B76" s="2" t="s">
        <v>156</v>
      </c>
      <c r="C76" s="2"/>
      <c r="D76" s="6">
        <v>5718.0</v>
      </c>
      <c r="E76" s="5" t="s">
        <v>10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157</v>
      </c>
      <c r="B77" s="2" t="s">
        <v>158</v>
      </c>
      <c r="C77" s="2"/>
      <c r="D77" s="6">
        <v>4388.0</v>
      </c>
      <c r="E77" s="5" t="s">
        <v>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159</v>
      </c>
      <c r="B78" s="2" t="s">
        <v>160</v>
      </c>
      <c r="C78" s="2"/>
      <c r="D78" s="6">
        <v>7880.0</v>
      </c>
      <c r="E78" s="5" t="s">
        <v>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161</v>
      </c>
      <c r="B79" s="2" t="s">
        <v>162</v>
      </c>
      <c r="C79" s="2"/>
      <c r="D79" s="6">
        <v>304.0</v>
      </c>
      <c r="E79" s="5" t="s">
        <v>13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163</v>
      </c>
      <c r="B80" s="2" t="s">
        <v>164</v>
      </c>
      <c r="C80" s="2"/>
      <c r="D80" s="6">
        <v>8521.0</v>
      </c>
      <c r="E80" s="5" t="s">
        <v>10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165</v>
      </c>
      <c r="B81" s="2" t="s">
        <v>166</v>
      </c>
      <c r="C81" s="2"/>
      <c r="D81" s="6">
        <v>9004.0</v>
      </c>
      <c r="E81" s="5" t="s">
        <v>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167</v>
      </c>
      <c r="B82" s="2" t="s">
        <v>168</v>
      </c>
      <c r="C82" s="2"/>
      <c r="D82" s="6">
        <v>6818.0</v>
      </c>
      <c r="E82" s="5" t="s">
        <v>6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169</v>
      </c>
      <c r="B83" s="2" t="s">
        <v>170</v>
      </c>
      <c r="C83" s="2"/>
      <c r="D83" s="6">
        <v>8253.0</v>
      </c>
      <c r="E83" s="5" t="s">
        <v>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171</v>
      </c>
      <c r="B84" s="2" t="s">
        <v>172</v>
      </c>
      <c r="C84" s="2"/>
      <c r="D84" s="6">
        <v>4525.0</v>
      </c>
      <c r="E84" s="5" t="s">
        <v>10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173</v>
      </c>
      <c r="B85" s="2" t="s">
        <v>174</v>
      </c>
      <c r="C85" s="2"/>
      <c r="D85" s="6">
        <v>8932.0</v>
      </c>
      <c r="E85" s="5" t="s">
        <v>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175</v>
      </c>
      <c r="B86" s="2" t="s">
        <v>176</v>
      </c>
      <c r="C86" s="2"/>
      <c r="D86" s="6">
        <v>6255.0</v>
      </c>
      <c r="E86" s="5" t="s">
        <v>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177</v>
      </c>
      <c r="B87" s="2" t="s">
        <v>178</v>
      </c>
      <c r="C87" s="2"/>
      <c r="D87" s="6">
        <v>4078.0</v>
      </c>
      <c r="E87" s="5" t="s">
        <v>13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179</v>
      </c>
      <c r="B88" s="2" t="s">
        <v>180</v>
      </c>
      <c r="C88" s="2"/>
      <c r="D88" s="6">
        <v>5986.0</v>
      </c>
      <c r="E88" s="5" t="s">
        <v>10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181</v>
      </c>
      <c r="B89" s="2" t="s">
        <v>182</v>
      </c>
      <c r="C89" s="2"/>
      <c r="D89" s="6">
        <v>2976.0</v>
      </c>
      <c r="E89" s="5" t="s">
        <v>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183</v>
      </c>
      <c r="B90" s="2" t="s">
        <v>184</v>
      </c>
      <c r="C90" s="2"/>
      <c r="D90" s="6">
        <v>5519.0</v>
      </c>
      <c r="E90" s="5" t="s">
        <v>10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185</v>
      </c>
      <c r="B91" s="2" t="s">
        <v>186</v>
      </c>
      <c r="C91" s="2"/>
      <c r="D91" s="6">
        <v>2780.0</v>
      </c>
      <c r="E91" s="5" t="s">
        <v>13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187</v>
      </c>
      <c r="B92" s="2" t="s">
        <v>188</v>
      </c>
      <c r="C92" s="2"/>
      <c r="D92" s="6">
        <v>559.0</v>
      </c>
      <c r="E92" s="5" t="s">
        <v>13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189</v>
      </c>
      <c r="B93" s="2" t="s">
        <v>190</v>
      </c>
      <c r="C93" s="2"/>
      <c r="D93" s="6">
        <v>610.0</v>
      </c>
      <c r="E93" s="5" t="s">
        <v>13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191</v>
      </c>
      <c r="B94" s="2" t="s">
        <v>192</v>
      </c>
      <c r="C94" s="2"/>
      <c r="D94" s="6">
        <v>9775.0</v>
      </c>
      <c r="E94" s="5" t="s">
        <v>13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193</v>
      </c>
      <c r="B95" s="2" t="s">
        <v>194</v>
      </c>
      <c r="C95" s="2"/>
      <c r="D95" s="6">
        <v>9280.0</v>
      </c>
      <c r="E95" s="5" t="s">
        <v>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195</v>
      </c>
      <c r="B96" s="2" t="s">
        <v>196</v>
      </c>
      <c r="C96" s="2" t="s">
        <v>219</v>
      </c>
      <c r="D96" s="6">
        <v>2868.0</v>
      </c>
      <c r="E96" s="5" t="s">
        <v>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197</v>
      </c>
      <c r="B97" s="2" t="s">
        <v>198</v>
      </c>
      <c r="C97" s="2"/>
      <c r="D97" s="6">
        <v>1401.0</v>
      </c>
      <c r="E97" s="5" t="s">
        <v>13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199</v>
      </c>
      <c r="B98" s="2" t="s">
        <v>200</v>
      </c>
      <c r="C98" s="2"/>
      <c r="D98" s="6">
        <v>4498.0</v>
      </c>
      <c r="E98" s="5" t="s">
        <v>10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201</v>
      </c>
      <c r="B99" s="2" t="s">
        <v>202</v>
      </c>
      <c r="C99" s="2"/>
      <c r="D99" s="6">
        <v>5409.0</v>
      </c>
      <c r="E99" s="5" t="s">
        <v>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203</v>
      </c>
      <c r="B100" s="2" t="s">
        <v>204</v>
      </c>
      <c r="C100" s="2" t="s">
        <v>220</v>
      </c>
      <c r="D100" s="6">
        <v>1099.0</v>
      </c>
      <c r="E100" s="5" t="s">
        <v>10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205</v>
      </c>
      <c r="B101" s="2" t="s">
        <v>206</v>
      </c>
      <c r="C101" s="2" t="s">
        <v>221</v>
      </c>
      <c r="D101" s="6">
        <v>765.0</v>
      </c>
      <c r="E101" s="5" t="s">
        <v>10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2"/>
      <c r="C102" s="2"/>
      <c r="D102" s="10"/>
      <c r="E102" s="5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2"/>
      <c r="C103" s="2"/>
      <c r="D103" s="10"/>
      <c r="E103" s="5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2"/>
      <c r="C104" s="2"/>
      <c r="D104" s="10"/>
      <c r="E104" s="5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2"/>
      <c r="C105" s="2"/>
      <c r="D105" s="10"/>
      <c r="E105" s="5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2"/>
      <c r="C106" s="2"/>
      <c r="D106" s="10"/>
      <c r="E106" s="5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2"/>
      <c r="C107" s="2"/>
      <c r="D107" s="10"/>
      <c r="E107" s="5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2"/>
      <c r="C108" s="2"/>
      <c r="D108" s="10"/>
      <c r="E108" s="5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2"/>
      <c r="C109" s="2"/>
      <c r="D109" s="10"/>
      <c r="E109" s="5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2"/>
      <c r="C110" s="2"/>
      <c r="D110" s="10"/>
      <c r="E110" s="5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2"/>
      <c r="C111" s="2"/>
      <c r="D111" s="10"/>
      <c r="E111" s="5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2"/>
      <c r="C112" s="2"/>
      <c r="D112" s="10"/>
      <c r="E112" s="5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2"/>
      <c r="C113" s="2"/>
      <c r="D113" s="10"/>
      <c r="E113" s="5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2"/>
      <c r="C114" s="2"/>
      <c r="D114" s="10"/>
      <c r="E114" s="5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2"/>
      <c r="C115" s="2"/>
      <c r="D115" s="10"/>
      <c r="E115" s="5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2"/>
      <c r="C116" s="2"/>
      <c r="D116" s="10"/>
      <c r="E116" s="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2"/>
      <c r="C117" s="2"/>
      <c r="D117" s="10"/>
      <c r="E117" s="5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2"/>
      <c r="C118" s="2"/>
      <c r="D118" s="10"/>
      <c r="E118" s="5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2"/>
      <c r="C119" s="2"/>
      <c r="D119" s="10"/>
      <c r="E119" s="5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2"/>
      <c r="C120" s="2"/>
      <c r="D120" s="10"/>
      <c r="E120" s="5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2"/>
      <c r="C121" s="2"/>
      <c r="D121" s="10"/>
      <c r="E121" s="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2"/>
      <c r="C122" s="2"/>
      <c r="D122" s="10"/>
      <c r="E122" s="5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2"/>
      <c r="C123" s="2"/>
      <c r="D123" s="10"/>
      <c r="E123" s="5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2"/>
      <c r="C124" s="2"/>
      <c r="D124" s="10"/>
      <c r="E124" s="5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2"/>
      <c r="C125" s="2"/>
      <c r="D125" s="10"/>
      <c r="E125" s="5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2"/>
      <c r="C126" s="2"/>
      <c r="D126" s="10"/>
      <c r="E126" s="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2"/>
      <c r="C127" s="2"/>
      <c r="D127" s="10"/>
      <c r="E127" s="5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2"/>
      <c r="C128" s="2"/>
      <c r="D128" s="10"/>
      <c r="E128" s="5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2"/>
      <c r="C129" s="2"/>
      <c r="D129" s="10"/>
      <c r="E129" s="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2"/>
      <c r="C130" s="2"/>
      <c r="D130" s="10"/>
      <c r="E130" s="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2"/>
      <c r="C131" s="2"/>
      <c r="D131" s="10"/>
      <c r="E131" s="5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2"/>
      <c r="C132" s="2"/>
      <c r="D132" s="10"/>
      <c r="E132" s="5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2"/>
      <c r="C133" s="2"/>
      <c r="D133" s="10"/>
      <c r="E133" s="5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2"/>
      <c r="C134" s="2"/>
      <c r="D134" s="10"/>
      <c r="E134" s="5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2"/>
      <c r="C135" s="2"/>
      <c r="D135" s="10"/>
      <c r="E135" s="5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2"/>
      <c r="C136" s="2"/>
      <c r="D136" s="10"/>
      <c r="E136" s="5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2"/>
      <c r="C137" s="2"/>
      <c r="D137" s="10"/>
      <c r="E137" s="5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2"/>
      <c r="C138" s="2"/>
      <c r="D138" s="10"/>
      <c r="E138" s="5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2"/>
      <c r="C139" s="2"/>
      <c r="D139" s="10"/>
      <c r="E139" s="5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2"/>
      <c r="C140" s="2"/>
      <c r="D140" s="10"/>
      <c r="E140" s="5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2"/>
      <c r="C141" s="2"/>
      <c r="D141" s="10"/>
      <c r="E141" s="5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2"/>
      <c r="C142" s="2"/>
      <c r="D142" s="10"/>
      <c r="E142" s="5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2"/>
      <c r="C143" s="2"/>
      <c r="D143" s="10"/>
      <c r="E143" s="5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2"/>
      <c r="C144" s="2"/>
      <c r="D144" s="10"/>
      <c r="E144" s="5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2"/>
      <c r="C145" s="2"/>
      <c r="D145" s="10"/>
      <c r="E145" s="5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2"/>
      <c r="C146" s="2"/>
      <c r="D146" s="10"/>
      <c r="E146" s="5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2"/>
      <c r="C147" s="2"/>
      <c r="D147" s="10"/>
      <c r="E147" s="5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2"/>
      <c r="C148" s="2"/>
      <c r="D148" s="10"/>
      <c r="E148" s="5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2"/>
      <c r="C149" s="2"/>
      <c r="D149" s="10"/>
      <c r="E149" s="5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2"/>
      <c r="C150" s="2"/>
      <c r="D150" s="10"/>
      <c r="E150" s="5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2"/>
      <c r="C151" s="2"/>
      <c r="D151" s="10"/>
      <c r="E151" s="5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2"/>
      <c r="C152" s="2"/>
      <c r="D152" s="10"/>
      <c r="E152" s="5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2"/>
      <c r="C153" s="2"/>
      <c r="D153" s="10"/>
      <c r="E153" s="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2"/>
      <c r="C154" s="2"/>
      <c r="D154" s="10"/>
      <c r="E154" s="5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2"/>
      <c r="C155" s="2"/>
      <c r="D155" s="10"/>
      <c r="E155" s="5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2"/>
      <c r="C156" s="2"/>
      <c r="D156" s="10"/>
      <c r="E156" s="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2"/>
      <c r="C157" s="2"/>
      <c r="D157" s="10"/>
      <c r="E157" s="5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2"/>
      <c r="C158" s="2"/>
      <c r="D158" s="10"/>
      <c r="E158" s="5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2"/>
      <c r="C159" s="2"/>
      <c r="D159" s="10"/>
      <c r="E159" s="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2"/>
      <c r="C160" s="2"/>
      <c r="D160" s="10"/>
      <c r="E160" s="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2"/>
      <c r="C161" s="2"/>
      <c r="D161" s="10"/>
      <c r="E161" s="5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2"/>
      <c r="C162" s="2"/>
      <c r="D162" s="10"/>
      <c r="E162" s="5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2"/>
      <c r="C163" s="2"/>
      <c r="D163" s="10"/>
      <c r="E163" s="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2"/>
      <c r="C164" s="2"/>
      <c r="D164" s="10"/>
      <c r="E164" s="5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2"/>
      <c r="C165" s="2"/>
      <c r="D165" s="10"/>
      <c r="E165" s="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2"/>
      <c r="C166" s="2"/>
      <c r="D166" s="10"/>
      <c r="E166" s="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2"/>
      <c r="C167" s="2"/>
      <c r="D167" s="10"/>
      <c r="E167" s="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2"/>
      <c r="C168" s="2"/>
      <c r="D168" s="10"/>
      <c r="E168" s="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2"/>
      <c r="C169" s="2"/>
      <c r="D169" s="10"/>
      <c r="E169" s="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2"/>
      <c r="C170" s="2"/>
      <c r="D170" s="10"/>
      <c r="E170" s="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2"/>
      <c r="C171" s="2"/>
      <c r="D171" s="10"/>
      <c r="E171" s="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2"/>
      <c r="C172" s="2"/>
      <c r="D172" s="10"/>
      <c r="E172" s="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2"/>
      <c r="C173" s="2"/>
      <c r="D173" s="10"/>
      <c r="E173" s="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2"/>
      <c r="C174" s="2"/>
      <c r="D174" s="10"/>
      <c r="E174" s="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2"/>
      <c r="C175" s="2"/>
      <c r="D175" s="10"/>
      <c r="E175" s="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2"/>
      <c r="C176" s="2"/>
      <c r="D176" s="10"/>
      <c r="E176" s="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2"/>
      <c r="C177" s="2"/>
      <c r="D177" s="10"/>
      <c r="E177" s="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2"/>
      <c r="C178" s="2"/>
      <c r="D178" s="10"/>
      <c r="E178" s="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2"/>
      <c r="C179" s="2"/>
      <c r="D179" s="10"/>
      <c r="E179" s="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2"/>
      <c r="C180" s="2"/>
      <c r="D180" s="10"/>
      <c r="E180" s="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2"/>
      <c r="C181" s="2"/>
      <c r="D181" s="10"/>
      <c r="E181" s="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2"/>
      <c r="C182" s="2"/>
      <c r="D182" s="10"/>
      <c r="E182" s="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2"/>
      <c r="C183" s="2"/>
      <c r="D183" s="10"/>
      <c r="E183" s="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2"/>
      <c r="C184" s="2"/>
      <c r="D184" s="10"/>
      <c r="E184" s="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2"/>
      <c r="C185" s="2"/>
      <c r="D185" s="10"/>
      <c r="E185" s="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2"/>
      <c r="C186" s="2"/>
      <c r="D186" s="10"/>
      <c r="E186" s="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2"/>
      <c r="C187" s="2"/>
      <c r="D187" s="10"/>
      <c r="E187" s="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2"/>
      <c r="C188" s="2"/>
      <c r="D188" s="10"/>
      <c r="E188" s="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2"/>
      <c r="C189" s="2"/>
      <c r="D189" s="10"/>
      <c r="E189" s="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2"/>
      <c r="C190" s="2"/>
      <c r="D190" s="10"/>
      <c r="E190" s="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2"/>
      <c r="C191" s="2"/>
      <c r="D191" s="10"/>
      <c r="E191" s="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2"/>
      <c r="C192" s="2"/>
      <c r="D192" s="10"/>
      <c r="E192" s="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2"/>
      <c r="C193" s="2"/>
      <c r="D193" s="10"/>
      <c r="E193" s="5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2"/>
      <c r="C194" s="2"/>
      <c r="D194" s="10"/>
      <c r="E194" s="5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2"/>
      <c r="C195" s="2"/>
      <c r="D195" s="10"/>
      <c r="E195" s="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2"/>
      <c r="C196" s="2"/>
      <c r="D196" s="10"/>
      <c r="E196" s="5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2"/>
      <c r="C197" s="2"/>
      <c r="D197" s="10"/>
      <c r="E197" s="5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2"/>
      <c r="C198" s="2"/>
      <c r="D198" s="10"/>
      <c r="E198" s="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2"/>
      <c r="C199" s="2"/>
      <c r="D199" s="10"/>
      <c r="E199" s="5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2"/>
      <c r="C200" s="2"/>
      <c r="D200" s="10"/>
      <c r="E200" s="5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2"/>
      <c r="C201" s="2"/>
      <c r="D201" s="10"/>
      <c r="E201" s="5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2"/>
      <c r="C202" s="2"/>
      <c r="D202" s="10"/>
      <c r="E202" s="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2"/>
      <c r="C203" s="2"/>
      <c r="D203" s="10"/>
      <c r="E203" s="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2"/>
      <c r="C204" s="2"/>
      <c r="D204" s="10"/>
      <c r="E204" s="5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2"/>
      <c r="C205" s="2"/>
      <c r="D205" s="10"/>
      <c r="E205" s="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2"/>
      <c r="C206" s="2"/>
      <c r="D206" s="10"/>
      <c r="E206" s="5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2"/>
      <c r="C207" s="2"/>
      <c r="D207" s="10"/>
      <c r="E207" s="5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2"/>
      <c r="C208" s="2"/>
      <c r="D208" s="10"/>
      <c r="E208" s="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2"/>
      <c r="C209" s="2"/>
      <c r="D209" s="10"/>
      <c r="E209" s="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2"/>
      <c r="C210" s="2"/>
      <c r="D210" s="10"/>
      <c r="E210" s="5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2"/>
      <c r="C211" s="2"/>
      <c r="D211" s="10"/>
      <c r="E211" s="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2"/>
      <c r="C212" s="2"/>
      <c r="D212" s="10"/>
      <c r="E212" s="5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2"/>
      <c r="C213" s="2"/>
      <c r="D213" s="10"/>
      <c r="E213" s="5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2"/>
      <c r="C214" s="2"/>
      <c r="D214" s="10"/>
      <c r="E214" s="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2"/>
      <c r="C215" s="2"/>
      <c r="D215" s="10"/>
      <c r="E215" s="5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2"/>
      <c r="C216" s="2"/>
      <c r="D216" s="10"/>
      <c r="E216" s="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2"/>
      <c r="C217" s="2"/>
      <c r="D217" s="10"/>
      <c r="E217" s="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2"/>
      <c r="C218" s="2"/>
      <c r="D218" s="10"/>
      <c r="E218" s="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2"/>
      <c r="C219" s="2"/>
      <c r="D219" s="10"/>
      <c r="E219" s="5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2"/>
      <c r="C220" s="2"/>
      <c r="D220" s="10"/>
      <c r="E220" s="5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2"/>
      <c r="C221" s="2"/>
      <c r="D221" s="10"/>
      <c r="E221" s="5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2"/>
      <c r="C222" s="2"/>
      <c r="D222" s="10"/>
      <c r="E222" s="5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2"/>
      <c r="C223" s="2"/>
      <c r="D223" s="10"/>
      <c r="E223" s="5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2"/>
      <c r="C224" s="2"/>
      <c r="D224" s="10"/>
      <c r="E224" s="5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2"/>
      <c r="C225" s="2"/>
      <c r="D225" s="10"/>
      <c r="E225" s="5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2"/>
      <c r="C226" s="2"/>
      <c r="D226" s="10"/>
      <c r="E226" s="5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2"/>
      <c r="C227" s="2"/>
      <c r="D227" s="10"/>
      <c r="E227" s="5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2"/>
      <c r="C228" s="2"/>
      <c r="D228" s="10"/>
      <c r="E228" s="5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2"/>
      <c r="C229" s="2"/>
      <c r="D229" s="10"/>
      <c r="E229" s="5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2"/>
      <c r="C230" s="2"/>
      <c r="D230" s="10"/>
      <c r="E230" s="5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2"/>
      <c r="C231" s="2"/>
      <c r="D231" s="10"/>
      <c r="E231" s="5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2"/>
      <c r="C232" s="2"/>
      <c r="D232" s="10"/>
      <c r="E232" s="5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2"/>
      <c r="C233" s="2"/>
      <c r="D233" s="10"/>
      <c r="E233" s="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2"/>
      <c r="C234" s="2"/>
      <c r="D234" s="10"/>
      <c r="E234" s="5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2"/>
      <c r="C235" s="2"/>
      <c r="D235" s="10"/>
      <c r="E235" s="5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2"/>
      <c r="C236" s="2"/>
      <c r="D236" s="10"/>
      <c r="E236" s="5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2"/>
      <c r="C237" s="2"/>
      <c r="D237" s="10"/>
      <c r="E237" s="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2"/>
      <c r="C238" s="2"/>
      <c r="D238" s="10"/>
      <c r="E238" s="5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2"/>
      <c r="C239" s="2"/>
      <c r="D239" s="10"/>
      <c r="E239" s="5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2"/>
      <c r="C240" s="2"/>
      <c r="D240" s="10"/>
      <c r="E240" s="5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2"/>
      <c r="C241" s="2"/>
      <c r="D241" s="10"/>
      <c r="E241" s="5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2"/>
      <c r="C242" s="2"/>
      <c r="D242" s="10"/>
      <c r="E242" s="5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2"/>
      <c r="C243" s="2"/>
      <c r="D243" s="10"/>
      <c r="E243" s="5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2"/>
      <c r="C244" s="2"/>
      <c r="D244" s="10"/>
      <c r="E244" s="5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2"/>
      <c r="C245" s="2"/>
      <c r="D245" s="10"/>
      <c r="E245" s="5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2"/>
      <c r="C246" s="2"/>
      <c r="D246" s="10"/>
      <c r="E246" s="5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2"/>
      <c r="C247" s="2"/>
      <c r="D247" s="10"/>
      <c r="E247" s="5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2"/>
      <c r="C248" s="2"/>
      <c r="D248" s="10"/>
      <c r="E248" s="5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2"/>
      <c r="C249" s="2"/>
      <c r="D249" s="10"/>
      <c r="E249" s="5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2"/>
      <c r="C250" s="2"/>
      <c r="D250" s="10"/>
      <c r="E250" s="5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2"/>
      <c r="C251" s="2"/>
      <c r="D251" s="10"/>
      <c r="E251" s="5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2"/>
      <c r="C252" s="2"/>
      <c r="D252" s="10"/>
      <c r="E252" s="5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2"/>
      <c r="C253" s="2"/>
      <c r="D253" s="10"/>
      <c r="E253" s="5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2"/>
      <c r="C254" s="2"/>
      <c r="D254" s="10"/>
      <c r="E254" s="5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2"/>
      <c r="C255" s="2"/>
      <c r="D255" s="10"/>
      <c r="E255" s="5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2"/>
      <c r="C256" s="2"/>
      <c r="D256" s="10"/>
      <c r="E256" s="5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2"/>
      <c r="C257" s="2"/>
      <c r="D257" s="10"/>
      <c r="E257" s="5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2"/>
      <c r="C258" s="2"/>
      <c r="D258" s="10"/>
      <c r="E258" s="5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2"/>
      <c r="C259" s="2"/>
      <c r="D259" s="10"/>
      <c r="E259" s="5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2"/>
      <c r="C260" s="2"/>
      <c r="D260" s="10"/>
      <c r="E260" s="5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5"/>
      <c r="D261" s="10"/>
      <c r="E261" s="5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5"/>
      <c r="D262" s="10"/>
      <c r="E262" s="5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5"/>
      <c r="D263" s="10"/>
      <c r="E263" s="5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5"/>
      <c r="D264" s="10"/>
      <c r="E264" s="5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5"/>
      <c r="D265" s="10"/>
      <c r="E265" s="5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5"/>
      <c r="D266" s="10"/>
      <c r="E266" s="5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5"/>
      <c r="D267" s="10"/>
      <c r="E267" s="5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5"/>
      <c r="D268" s="10"/>
      <c r="E268" s="5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5"/>
      <c r="D269" s="10"/>
      <c r="E269" s="5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5"/>
      <c r="D270" s="10"/>
      <c r="E270" s="5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5"/>
      <c r="D271" s="10"/>
      <c r="E271" s="5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5"/>
      <c r="D272" s="10"/>
      <c r="E272" s="5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5"/>
      <c r="D273" s="10"/>
      <c r="E273" s="5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5"/>
      <c r="D274" s="10"/>
      <c r="E274" s="5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5"/>
      <c r="D275" s="10"/>
      <c r="E275" s="5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5"/>
      <c r="D276" s="10"/>
      <c r="E276" s="5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5"/>
      <c r="D277" s="10"/>
      <c r="E277" s="5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5"/>
      <c r="D278" s="10"/>
      <c r="E278" s="5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5"/>
      <c r="D279" s="10"/>
      <c r="E279" s="5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5"/>
      <c r="D280" s="10"/>
      <c r="E280" s="5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5"/>
      <c r="D281" s="10"/>
      <c r="E281" s="5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5"/>
      <c r="D282" s="10"/>
      <c r="E282" s="5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5"/>
      <c r="D283" s="10"/>
      <c r="E283" s="5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5"/>
      <c r="D284" s="10"/>
      <c r="E284" s="5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5"/>
      <c r="D285" s="10"/>
      <c r="E285" s="5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5"/>
      <c r="D286" s="10"/>
      <c r="E286" s="5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5"/>
      <c r="D287" s="10"/>
      <c r="E287" s="5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5"/>
      <c r="D288" s="10"/>
      <c r="E288" s="5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5"/>
      <c r="D289" s="10"/>
      <c r="E289" s="5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5"/>
      <c r="D290" s="10"/>
      <c r="E290" s="5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5"/>
      <c r="D291" s="10"/>
      <c r="E291" s="5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5"/>
      <c r="D292" s="10"/>
      <c r="E292" s="5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5"/>
      <c r="D293" s="10"/>
      <c r="E293" s="5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5"/>
      <c r="D294" s="10"/>
      <c r="E294" s="5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5"/>
      <c r="D295" s="10"/>
      <c r="E295" s="5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5"/>
      <c r="D296" s="10"/>
      <c r="E296" s="5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5"/>
      <c r="D297" s="10"/>
      <c r="E297" s="5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5"/>
      <c r="D298" s="10"/>
      <c r="E298" s="5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5"/>
      <c r="D299" s="10"/>
      <c r="E299" s="5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5"/>
      <c r="D300" s="10"/>
      <c r="E300" s="5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5"/>
      <c r="D301" s="10"/>
      <c r="E301" s="5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5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5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5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5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5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5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5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5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5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5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5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5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5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5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5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5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5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5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5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5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5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5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5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5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5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5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5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5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5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5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5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5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5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5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5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5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5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5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5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5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5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5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5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5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5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5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5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5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5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5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5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5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5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5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5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5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5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5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5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5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5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5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5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5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5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5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5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5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5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5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5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5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5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5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5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5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5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5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5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5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5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5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5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5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5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5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5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5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5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5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5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5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5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5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5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5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5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5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5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5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5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5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5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5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5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5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5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5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5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5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5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5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5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5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5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5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5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5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5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5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5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5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5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5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5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5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5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5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5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5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5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5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5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5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5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5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5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5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5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5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5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5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5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5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5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5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5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5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5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5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5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5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5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5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5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5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5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5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5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5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5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5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5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5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5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5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5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5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5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5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5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5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5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5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5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5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5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5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5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5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5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5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5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5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5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5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5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5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5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5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5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5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5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5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5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5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5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5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5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5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5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5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5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5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5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5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5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5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5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5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5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5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5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5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5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5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5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5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5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5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5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5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5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5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5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5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5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5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5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5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5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5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5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5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5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5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5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5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5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5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5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5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5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5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5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5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5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5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5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5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5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5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5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5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5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5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5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5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5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5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5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5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5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5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5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5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5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5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5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5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5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5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5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5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5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5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5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5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5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5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5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5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5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5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5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5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5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5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5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5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5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5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5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5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5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5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5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5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5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5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5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5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5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5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5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5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5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5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5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5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5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5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5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5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5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5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5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5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5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5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5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5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5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5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5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5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5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5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5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5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5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5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5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5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5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5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5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5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5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5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5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5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5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5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5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5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5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5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5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5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5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5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5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5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5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5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5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5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5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5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5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5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5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5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5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5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5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5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5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5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5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5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5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5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5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5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5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5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5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5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5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5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5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5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5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5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5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5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5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5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5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5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5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5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5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5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5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5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5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5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5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5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5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5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5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5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5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5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5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5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5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5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5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5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5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5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5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5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5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5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5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5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5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5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5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5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5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5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5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5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5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5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5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5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5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5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5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5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5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5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5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5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5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5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5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5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5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5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5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5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5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5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5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5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5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5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5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5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5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5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5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5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5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5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5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5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5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5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5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5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5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5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5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5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5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5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5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5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5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5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5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5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5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5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5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5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5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5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5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5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5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5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5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5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5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5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5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5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5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5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5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5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5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5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5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5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5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5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5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5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5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5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5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5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5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5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5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5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5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5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5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5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5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5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5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5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5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5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5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5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5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5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5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5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5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5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5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5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5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5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5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5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5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5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5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5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5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5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5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5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5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5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5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5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5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5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5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5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5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5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5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5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5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5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5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5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5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5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5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5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5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5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5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5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5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5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5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5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5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5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5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5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5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5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5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5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5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5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5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5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5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5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5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5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5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5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5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5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5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5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5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5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5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5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5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5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5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5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5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5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5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5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5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5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5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5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5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5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5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5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5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5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5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5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5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5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5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5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5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5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5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5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5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5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5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5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5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5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5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5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5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5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5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5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5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5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5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5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5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5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5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5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5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5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5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5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5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5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5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5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5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5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5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5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5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5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5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5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5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5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5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5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5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5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5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5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5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5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5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5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5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5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5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5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5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5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5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5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5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5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5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5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5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5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5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5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3.57"/>
    <col customWidth="1" min="5" max="5" width="9.14"/>
    <col customWidth="1" min="6" max="9" width="10.29"/>
    <col customWidth="1" min="10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11" t="s">
        <v>222</v>
      </c>
      <c r="H1" s="11" t="s">
        <v>223</v>
      </c>
      <c r="I1" s="11" t="s">
        <v>224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</v>
      </c>
      <c r="B2" s="2" t="s">
        <v>5</v>
      </c>
      <c r="C2" s="6">
        <v>2434.0</v>
      </c>
      <c r="D2" s="5" t="s">
        <v>6</v>
      </c>
      <c r="E2" s="2"/>
      <c r="F2" s="2"/>
      <c r="G2" s="6">
        <v>0.0</v>
      </c>
      <c r="H2" s="6">
        <v>1999.0</v>
      </c>
      <c r="I2" s="5" t="s">
        <v>225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8</v>
      </c>
      <c r="B3" s="2" t="s">
        <v>9</v>
      </c>
      <c r="C3" s="6">
        <v>8222.0</v>
      </c>
      <c r="D3" s="5" t="s">
        <v>10</v>
      </c>
      <c r="E3" s="2"/>
      <c r="F3" s="2"/>
      <c r="G3" s="6">
        <v>2000.0</v>
      </c>
      <c r="H3" s="6">
        <v>3999.0</v>
      </c>
      <c r="I3" s="5" t="s">
        <v>226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11</v>
      </c>
      <c r="B4" s="2" t="s">
        <v>12</v>
      </c>
      <c r="C4" s="6">
        <v>1016.0</v>
      </c>
      <c r="D4" s="5" t="s">
        <v>13</v>
      </c>
      <c r="E4" s="2"/>
      <c r="F4" s="2"/>
      <c r="G4" s="6">
        <v>4000.0</v>
      </c>
      <c r="H4" s="6">
        <v>5999.0</v>
      </c>
      <c r="I4" s="5" t="s">
        <v>227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14</v>
      </c>
      <c r="B5" s="2" t="s">
        <v>15</v>
      </c>
      <c r="C5" s="6">
        <v>6531.0</v>
      </c>
      <c r="D5" s="5" t="s">
        <v>13</v>
      </c>
      <c r="E5" s="2"/>
      <c r="F5" s="2"/>
      <c r="G5" s="6">
        <v>6000.0</v>
      </c>
      <c r="H5" s="6">
        <v>7999.0</v>
      </c>
      <c r="I5" s="5" t="s">
        <v>228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16</v>
      </c>
      <c r="B6" s="2" t="s">
        <v>17</v>
      </c>
      <c r="C6" s="6">
        <v>8521.0</v>
      </c>
      <c r="D6" s="5" t="s">
        <v>10</v>
      </c>
      <c r="E6" s="2"/>
      <c r="F6" s="2"/>
      <c r="G6" s="6">
        <v>8000.0</v>
      </c>
      <c r="H6" s="6">
        <v>9999.0</v>
      </c>
      <c r="I6" s="5" t="s">
        <v>229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18</v>
      </c>
      <c r="B7" s="2" t="s">
        <v>19</v>
      </c>
      <c r="C7" s="6">
        <v>2924.0</v>
      </c>
      <c r="D7" s="5" t="s">
        <v>10</v>
      </c>
      <c r="E7" s="2"/>
      <c r="F7" s="2"/>
      <c r="G7" s="6">
        <v>10000.0</v>
      </c>
      <c r="H7" s="6" t="s">
        <v>230</v>
      </c>
      <c r="I7" s="5" t="s">
        <v>231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20</v>
      </c>
      <c r="B8" s="2" t="s">
        <v>21</v>
      </c>
      <c r="C8" s="6">
        <v>1232.0</v>
      </c>
      <c r="D8" s="5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22</v>
      </c>
      <c r="B9" s="2" t="s">
        <v>23</v>
      </c>
      <c r="C9" s="6">
        <v>948.0</v>
      </c>
      <c r="D9" s="5" t="s">
        <v>6</v>
      </c>
      <c r="E9" s="2"/>
      <c r="F9" s="2"/>
      <c r="G9" s="12" t="s">
        <v>1</v>
      </c>
      <c r="H9" s="13" t="s">
        <v>82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24</v>
      </c>
      <c r="B10" s="2" t="s">
        <v>25</v>
      </c>
      <c r="C10" s="6">
        <v>1750.0</v>
      </c>
      <c r="D10" s="5" t="s">
        <v>10</v>
      </c>
      <c r="E10" s="2"/>
      <c r="F10" s="2"/>
      <c r="G10" s="12" t="s">
        <v>2</v>
      </c>
      <c r="H10" s="6">
        <f t="array" ref="H10">XLOOKUP(H9,B:B,C:C)</f>
        <v>7088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26</v>
      </c>
      <c r="B11" s="2" t="s">
        <v>27</v>
      </c>
      <c r="C11" s="6">
        <v>7918.0</v>
      </c>
      <c r="D11" s="5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28</v>
      </c>
      <c r="B12" s="2" t="s">
        <v>29</v>
      </c>
      <c r="C12" s="6">
        <v>1370.0</v>
      </c>
      <c r="D12" s="5" t="s">
        <v>6</v>
      </c>
      <c r="E12" s="2"/>
      <c r="F12" s="14">
        <v>-1.0</v>
      </c>
      <c r="G12" s="12" t="s">
        <v>224</v>
      </c>
      <c r="H12" s="2" t="str">
        <f t="array" ref="H12">XLOOKUP(H10,G2:G7,I2:I7,,-1)</f>
        <v>Nível D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30</v>
      </c>
      <c r="B13" s="2" t="s">
        <v>31</v>
      </c>
      <c r="C13" s="6">
        <v>9365.0</v>
      </c>
      <c r="D13" s="5" t="s">
        <v>13</v>
      </c>
      <c r="E13" s="2"/>
      <c r="F13" s="15">
        <v>1.0</v>
      </c>
      <c r="G13" s="12" t="s">
        <v>224</v>
      </c>
      <c r="H13" s="2" t="str">
        <f t="array" ref="H13">XLOOKUP(H10,H2:H7,I2:I7,,1)</f>
        <v>Nível D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32</v>
      </c>
      <c r="B14" s="2" t="s">
        <v>33</v>
      </c>
      <c r="C14" s="6">
        <v>6228.0</v>
      </c>
      <c r="D14" s="5" t="s">
        <v>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34</v>
      </c>
      <c r="B15" s="2" t="s">
        <v>35</v>
      </c>
      <c r="C15" s="6">
        <v>1248.0</v>
      </c>
      <c r="D15" s="5" t="s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36</v>
      </c>
      <c r="B16" s="2" t="s">
        <v>37</v>
      </c>
      <c r="C16" s="6">
        <v>5828.0</v>
      </c>
      <c r="D16" s="5" t="s">
        <v>13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38</v>
      </c>
      <c r="B17" s="2" t="s">
        <v>39</v>
      </c>
      <c r="C17" s="6">
        <v>5701.0</v>
      </c>
      <c r="D17" s="5" t="s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40</v>
      </c>
      <c r="B18" s="2" t="s">
        <v>41</v>
      </c>
      <c r="C18" s="6">
        <v>7500.0</v>
      </c>
      <c r="D18" s="5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42</v>
      </c>
      <c r="B19" s="2" t="s">
        <v>43</v>
      </c>
      <c r="C19" s="6">
        <v>5565.0</v>
      </c>
      <c r="D19" s="5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44</v>
      </c>
      <c r="B20" s="2" t="s">
        <v>45</v>
      </c>
      <c r="C20" s="6">
        <v>5900.0</v>
      </c>
      <c r="D20" s="5" t="s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46</v>
      </c>
      <c r="B21" s="2" t="s">
        <v>47</v>
      </c>
      <c r="C21" s="6">
        <v>608.0</v>
      </c>
      <c r="D21" s="5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48</v>
      </c>
      <c r="B22" s="2" t="s">
        <v>7</v>
      </c>
      <c r="C22" s="6">
        <v>819.0</v>
      </c>
      <c r="D22" s="5" t="s">
        <v>13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49</v>
      </c>
      <c r="B23" s="2" t="s">
        <v>50</v>
      </c>
      <c r="C23" s="6">
        <v>564.0</v>
      </c>
      <c r="D23" s="5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51</v>
      </c>
      <c r="B24" s="2" t="s">
        <v>52</v>
      </c>
      <c r="C24" s="6">
        <v>7861.0</v>
      </c>
      <c r="D24" s="5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53</v>
      </c>
      <c r="B25" s="2" t="s">
        <v>54</v>
      </c>
      <c r="C25" s="6">
        <v>731.0</v>
      </c>
      <c r="D25" s="5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55</v>
      </c>
      <c r="B26" s="2" t="s">
        <v>56</v>
      </c>
      <c r="C26" s="6">
        <v>7150.0</v>
      </c>
      <c r="D26" s="5" t="s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57</v>
      </c>
      <c r="B27" s="2" t="s">
        <v>58</v>
      </c>
      <c r="C27" s="6">
        <v>9927.0</v>
      </c>
      <c r="D27" s="5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59</v>
      </c>
      <c r="B28" s="2" t="s">
        <v>60</v>
      </c>
      <c r="C28" s="6">
        <v>2219.0</v>
      </c>
      <c r="D28" s="5" t="s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61</v>
      </c>
      <c r="B29" s="2" t="s">
        <v>62</v>
      </c>
      <c r="C29" s="6">
        <v>3079.0</v>
      </c>
      <c r="D29" s="5" t="s">
        <v>13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63</v>
      </c>
      <c r="B30" s="2" t="s">
        <v>64</v>
      </c>
      <c r="C30" s="6">
        <v>7887.0</v>
      </c>
      <c r="D30" s="5" t="s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65</v>
      </c>
      <c r="B31" s="2" t="s">
        <v>66</v>
      </c>
      <c r="C31" s="6">
        <v>6912.0</v>
      </c>
      <c r="D31" s="5" t="s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67</v>
      </c>
      <c r="B32" s="2" t="s">
        <v>68</v>
      </c>
      <c r="C32" s="6">
        <v>6202.0</v>
      </c>
      <c r="D32" s="5" t="s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69</v>
      </c>
      <c r="B33" s="2" t="s">
        <v>70</v>
      </c>
      <c r="C33" s="6">
        <v>3042.0</v>
      </c>
      <c r="D33" s="5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71</v>
      </c>
      <c r="B34" s="2" t="s">
        <v>72</v>
      </c>
      <c r="C34" s="6">
        <v>1430.0</v>
      </c>
      <c r="D34" s="5" t="s">
        <v>10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73</v>
      </c>
      <c r="B35" s="2" t="s">
        <v>74</v>
      </c>
      <c r="C35" s="6">
        <v>2892.0</v>
      </c>
      <c r="D35" s="5" t="s">
        <v>10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75</v>
      </c>
      <c r="B36" s="2" t="s">
        <v>76</v>
      </c>
      <c r="C36" s="6">
        <v>9172.0</v>
      </c>
      <c r="D36" s="5" t="s">
        <v>13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77</v>
      </c>
      <c r="B37" s="2" t="s">
        <v>78</v>
      </c>
      <c r="C37" s="6">
        <v>357.0</v>
      </c>
      <c r="D37" s="5" t="s">
        <v>10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79</v>
      </c>
      <c r="B38" s="2" t="s">
        <v>80</v>
      </c>
      <c r="C38" s="6">
        <v>619.0</v>
      </c>
      <c r="D38" s="5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81</v>
      </c>
      <c r="B39" s="2" t="s">
        <v>82</v>
      </c>
      <c r="C39" s="6">
        <v>7088.0</v>
      </c>
      <c r="D39" s="5" t="s">
        <v>13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83</v>
      </c>
      <c r="B40" s="2" t="s">
        <v>84</v>
      </c>
      <c r="C40" s="6">
        <v>9380.0</v>
      </c>
      <c r="D40" s="5" t="s">
        <v>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85</v>
      </c>
      <c r="B41" s="2" t="s">
        <v>86</v>
      </c>
      <c r="C41" s="6">
        <v>3330.0</v>
      </c>
      <c r="D41" s="5" t="s">
        <v>10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87</v>
      </c>
      <c r="B42" s="2" t="s">
        <v>88</v>
      </c>
      <c r="C42" s="6">
        <v>9746.0</v>
      </c>
      <c r="D42" s="5" t="s">
        <v>13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89</v>
      </c>
      <c r="B43" s="2" t="s">
        <v>90</v>
      </c>
      <c r="C43" s="6">
        <v>9226.0</v>
      </c>
      <c r="D43" s="5" t="s">
        <v>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91</v>
      </c>
      <c r="B44" s="2" t="s">
        <v>92</v>
      </c>
      <c r="C44" s="6">
        <v>5808.0</v>
      </c>
      <c r="D44" s="5" t="s">
        <v>13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93</v>
      </c>
      <c r="B45" s="2" t="s">
        <v>94</v>
      </c>
      <c r="C45" s="6">
        <v>6838.0</v>
      </c>
      <c r="D45" s="5" t="s"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95</v>
      </c>
      <c r="B46" s="2" t="s">
        <v>96</v>
      </c>
      <c r="C46" s="6">
        <v>6330.0</v>
      </c>
      <c r="D46" s="5" t="s">
        <v>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97</v>
      </c>
      <c r="B47" s="2" t="s">
        <v>98</v>
      </c>
      <c r="C47" s="6">
        <v>701.0</v>
      </c>
      <c r="D47" s="5" t="s">
        <v>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99</v>
      </c>
      <c r="B48" s="2" t="s">
        <v>100</v>
      </c>
      <c r="C48" s="6">
        <v>7196.0</v>
      </c>
      <c r="D48" s="5" t="s">
        <v>10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101</v>
      </c>
      <c r="B49" s="2" t="s">
        <v>102</v>
      </c>
      <c r="C49" s="6">
        <v>6864.0</v>
      </c>
      <c r="D49" s="5" t="s">
        <v>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103</v>
      </c>
      <c r="B50" s="2" t="s">
        <v>104</v>
      </c>
      <c r="C50" s="6">
        <v>1587.0</v>
      </c>
      <c r="D50" s="5" t="s">
        <v>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105</v>
      </c>
      <c r="B51" s="2" t="s">
        <v>106</v>
      </c>
      <c r="C51" s="6">
        <v>4717.0</v>
      </c>
      <c r="D51" s="5" t="s">
        <v>13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107</v>
      </c>
      <c r="B52" s="2" t="s">
        <v>108</v>
      </c>
      <c r="C52" s="6">
        <v>6880.0</v>
      </c>
      <c r="D52" s="5" t="s">
        <v>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109</v>
      </c>
      <c r="B53" s="2" t="s">
        <v>110</v>
      </c>
      <c r="C53" s="6">
        <v>4853.0</v>
      </c>
      <c r="D53" s="5" t="s">
        <v>13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111</v>
      </c>
      <c r="B54" s="2" t="s">
        <v>112</v>
      </c>
      <c r="C54" s="6">
        <v>801.0</v>
      </c>
      <c r="D54" s="5" t="s">
        <v>10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113</v>
      </c>
      <c r="B55" s="2" t="s">
        <v>114</v>
      </c>
      <c r="C55" s="6">
        <v>1928.0</v>
      </c>
      <c r="D55" s="5" t="s">
        <v>13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115</v>
      </c>
      <c r="B56" s="2" t="s">
        <v>116</v>
      </c>
      <c r="C56" s="6">
        <v>1028.0</v>
      </c>
      <c r="D56" s="5" t="s">
        <v>13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117</v>
      </c>
      <c r="B57" s="2" t="s">
        <v>118</v>
      </c>
      <c r="C57" s="6">
        <v>5895.0</v>
      </c>
      <c r="D57" s="5" t="s">
        <v>10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119</v>
      </c>
      <c r="B58" s="2" t="s">
        <v>120</v>
      </c>
      <c r="C58" s="6">
        <v>6489.0</v>
      </c>
      <c r="D58" s="5" t="s">
        <v>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121</v>
      </c>
      <c r="B59" s="2" t="s">
        <v>122</v>
      </c>
      <c r="C59" s="6">
        <v>9959.0</v>
      </c>
      <c r="D59" s="5" t="s">
        <v>10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123</v>
      </c>
      <c r="B60" s="2" t="s">
        <v>124</v>
      </c>
      <c r="C60" s="6">
        <v>620.0</v>
      </c>
      <c r="D60" s="5" t="s">
        <v>13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125</v>
      </c>
      <c r="B61" s="2" t="s">
        <v>126</v>
      </c>
      <c r="C61" s="6">
        <v>7231.0</v>
      </c>
      <c r="D61" s="5" t="s">
        <v>13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127</v>
      </c>
      <c r="B62" s="2" t="s">
        <v>128</v>
      </c>
      <c r="C62" s="6">
        <v>4548.0</v>
      </c>
      <c r="D62" s="5" t="s">
        <v>13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129</v>
      </c>
      <c r="B63" s="2" t="s">
        <v>130</v>
      </c>
      <c r="C63" s="6">
        <v>7846.0</v>
      </c>
      <c r="D63" s="5" t="s">
        <v>10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131</v>
      </c>
      <c r="B64" s="2" t="s">
        <v>132</v>
      </c>
      <c r="C64" s="6">
        <v>7573.0</v>
      </c>
      <c r="D64" s="5" t="s">
        <v>13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133</v>
      </c>
      <c r="B65" s="2" t="s">
        <v>134</v>
      </c>
      <c r="C65" s="6">
        <v>6785.0</v>
      </c>
      <c r="D65" s="5" t="s">
        <v>13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135</v>
      </c>
      <c r="B66" s="2" t="s">
        <v>136</v>
      </c>
      <c r="C66" s="6">
        <v>7699.0</v>
      </c>
      <c r="D66" s="5" t="s">
        <v>13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137</v>
      </c>
      <c r="B67" s="2" t="s">
        <v>138</v>
      </c>
      <c r="C67" s="6">
        <v>6281.0</v>
      </c>
      <c r="D67" s="5" t="s">
        <v>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139</v>
      </c>
      <c r="B68" s="2" t="s">
        <v>140</v>
      </c>
      <c r="C68" s="6">
        <v>959.0</v>
      </c>
      <c r="D68" s="5" t="s">
        <v>13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141</v>
      </c>
      <c r="B69" s="2" t="s">
        <v>142</v>
      </c>
      <c r="C69" s="6">
        <v>9644.0</v>
      </c>
      <c r="D69" s="5" t="s">
        <v>13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143</v>
      </c>
      <c r="B70" s="2" t="s">
        <v>144</v>
      </c>
      <c r="C70" s="6">
        <v>5728.0</v>
      </c>
      <c r="D70" s="5" t="s">
        <v>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145</v>
      </c>
      <c r="B71" s="2" t="s">
        <v>146</v>
      </c>
      <c r="C71" s="6">
        <v>9216.0</v>
      </c>
      <c r="D71" s="5" t="s">
        <v>13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147</v>
      </c>
      <c r="B72" s="2" t="s">
        <v>148</v>
      </c>
      <c r="C72" s="6">
        <v>2985.0</v>
      </c>
      <c r="D72" s="5" t="s">
        <v>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149</v>
      </c>
      <c r="B73" s="2" t="s">
        <v>150</v>
      </c>
      <c r="C73" s="6">
        <v>8403.0</v>
      </c>
      <c r="D73" s="5" t="s">
        <v>10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151</v>
      </c>
      <c r="B74" s="2" t="s">
        <v>152</v>
      </c>
      <c r="C74" s="6">
        <v>8250.0</v>
      </c>
      <c r="D74" s="5" t="s">
        <v>13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153</v>
      </c>
      <c r="B75" s="2" t="s">
        <v>154</v>
      </c>
      <c r="C75" s="6">
        <v>3185.0</v>
      </c>
      <c r="D75" s="5" t="s">
        <v>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155</v>
      </c>
      <c r="B76" s="2" t="s">
        <v>156</v>
      </c>
      <c r="C76" s="6">
        <v>5718.0</v>
      </c>
      <c r="D76" s="5" t="s">
        <v>10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157</v>
      </c>
      <c r="B77" s="2" t="s">
        <v>158</v>
      </c>
      <c r="C77" s="6">
        <v>4388.0</v>
      </c>
      <c r="D77" s="5" t="s">
        <v>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159</v>
      </c>
      <c r="B78" s="2" t="s">
        <v>160</v>
      </c>
      <c r="C78" s="6">
        <v>7880.0</v>
      </c>
      <c r="D78" s="5" t="s">
        <v>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161</v>
      </c>
      <c r="B79" s="2" t="s">
        <v>162</v>
      </c>
      <c r="C79" s="6">
        <v>304.0</v>
      </c>
      <c r="D79" s="5" t="s">
        <v>13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163</v>
      </c>
      <c r="B80" s="2" t="s">
        <v>164</v>
      </c>
      <c r="C80" s="6">
        <v>8521.0</v>
      </c>
      <c r="D80" s="5" t="s">
        <v>10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165</v>
      </c>
      <c r="B81" s="2" t="s">
        <v>166</v>
      </c>
      <c r="C81" s="6">
        <v>9004.0</v>
      </c>
      <c r="D81" s="5" t="s">
        <v>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167</v>
      </c>
      <c r="B82" s="2" t="s">
        <v>168</v>
      </c>
      <c r="C82" s="6">
        <v>6818.0</v>
      </c>
      <c r="D82" s="5" t="s">
        <v>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169</v>
      </c>
      <c r="B83" s="2" t="s">
        <v>170</v>
      </c>
      <c r="C83" s="6">
        <v>8253.0</v>
      </c>
      <c r="D83" s="5" t="s">
        <v>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171</v>
      </c>
      <c r="B84" s="2" t="s">
        <v>172</v>
      </c>
      <c r="C84" s="6">
        <v>4525.0</v>
      </c>
      <c r="D84" s="5" t="s">
        <v>10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173</v>
      </c>
      <c r="B85" s="2" t="s">
        <v>174</v>
      </c>
      <c r="C85" s="6">
        <v>8932.0</v>
      </c>
      <c r="D85" s="5" t="s">
        <v>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175</v>
      </c>
      <c r="B86" s="2" t="s">
        <v>176</v>
      </c>
      <c r="C86" s="6">
        <v>6255.0</v>
      </c>
      <c r="D86" s="5" t="s">
        <v>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177</v>
      </c>
      <c r="B87" s="2" t="s">
        <v>178</v>
      </c>
      <c r="C87" s="6">
        <v>4078.0</v>
      </c>
      <c r="D87" s="5" t="s">
        <v>13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179</v>
      </c>
      <c r="B88" s="2" t="s">
        <v>180</v>
      </c>
      <c r="C88" s="6">
        <v>5986.0</v>
      </c>
      <c r="D88" s="5" t="s">
        <v>10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181</v>
      </c>
      <c r="B89" s="2" t="s">
        <v>182</v>
      </c>
      <c r="C89" s="6">
        <v>2976.0</v>
      </c>
      <c r="D89" s="5" t="s">
        <v>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183</v>
      </c>
      <c r="B90" s="2" t="s">
        <v>184</v>
      </c>
      <c r="C90" s="6">
        <v>5519.0</v>
      </c>
      <c r="D90" s="5" t="s">
        <v>10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185</v>
      </c>
      <c r="B91" s="2" t="s">
        <v>186</v>
      </c>
      <c r="C91" s="6">
        <v>2780.0</v>
      </c>
      <c r="D91" s="5" t="s">
        <v>13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187</v>
      </c>
      <c r="B92" s="2" t="s">
        <v>188</v>
      </c>
      <c r="C92" s="6">
        <v>559.0</v>
      </c>
      <c r="D92" s="5" t="s">
        <v>13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189</v>
      </c>
      <c r="B93" s="2" t="s">
        <v>190</v>
      </c>
      <c r="C93" s="6">
        <v>610.0</v>
      </c>
      <c r="D93" s="5" t="s">
        <v>13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191</v>
      </c>
      <c r="B94" s="2" t="s">
        <v>192</v>
      </c>
      <c r="C94" s="6">
        <v>9775.0</v>
      </c>
      <c r="D94" s="5" t="s">
        <v>13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193</v>
      </c>
      <c r="B95" s="2" t="s">
        <v>194</v>
      </c>
      <c r="C95" s="6">
        <v>9280.0</v>
      </c>
      <c r="D95" s="5" t="s">
        <v>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195</v>
      </c>
      <c r="B96" s="2" t="s">
        <v>196</v>
      </c>
      <c r="C96" s="6">
        <v>2868.0</v>
      </c>
      <c r="D96" s="5" t="s">
        <v>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197</v>
      </c>
      <c r="B97" s="2" t="s">
        <v>198</v>
      </c>
      <c r="C97" s="6">
        <v>1401.0</v>
      </c>
      <c r="D97" s="5" t="s">
        <v>13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199</v>
      </c>
      <c r="B98" s="2" t="s">
        <v>200</v>
      </c>
      <c r="C98" s="6">
        <v>4498.0</v>
      </c>
      <c r="D98" s="5" t="s">
        <v>10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201</v>
      </c>
      <c r="B99" s="2" t="s">
        <v>202</v>
      </c>
      <c r="C99" s="6">
        <v>5409.0</v>
      </c>
      <c r="D99" s="5" t="s">
        <v>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203</v>
      </c>
      <c r="B100" s="2" t="s">
        <v>204</v>
      </c>
      <c r="C100" s="6">
        <v>1099.0</v>
      </c>
      <c r="D100" s="5" t="s">
        <v>10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205</v>
      </c>
      <c r="B101" s="2" t="s">
        <v>206</v>
      </c>
      <c r="C101" s="6">
        <v>765.0</v>
      </c>
      <c r="D101" s="5" t="s">
        <v>10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2"/>
      <c r="C102" s="10"/>
      <c r="D102" s="5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2"/>
      <c r="C103" s="10"/>
      <c r="D103" s="5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2"/>
      <c r="C104" s="10"/>
      <c r="D104" s="5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2"/>
      <c r="C105" s="10"/>
      <c r="D105" s="5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2"/>
      <c r="C106" s="10"/>
      <c r="D106" s="5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2"/>
      <c r="C107" s="10"/>
      <c r="D107" s="5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2"/>
      <c r="C108" s="10"/>
      <c r="D108" s="5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2"/>
      <c r="C109" s="10"/>
      <c r="D109" s="5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2"/>
      <c r="C110" s="10"/>
      <c r="D110" s="5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2"/>
      <c r="C111" s="10"/>
      <c r="D111" s="5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2"/>
      <c r="C112" s="10"/>
      <c r="D112" s="5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2"/>
      <c r="C113" s="10"/>
      <c r="D113" s="5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2"/>
      <c r="C114" s="10"/>
      <c r="D114" s="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2"/>
      <c r="C115" s="10"/>
      <c r="D115" s="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2"/>
      <c r="C116" s="10"/>
      <c r="D116" s="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2"/>
      <c r="C117" s="10"/>
      <c r="D117" s="5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2"/>
      <c r="C118" s="10"/>
      <c r="D118" s="5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2"/>
      <c r="C119" s="10"/>
      <c r="D119" s="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2"/>
      <c r="C120" s="10"/>
      <c r="D120" s="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2"/>
      <c r="C121" s="10"/>
      <c r="D121" s="5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2"/>
      <c r="C122" s="10"/>
      <c r="D122" s="5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2"/>
      <c r="C123" s="10"/>
      <c r="D123" s="5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2"/>
      <c r="C124" s="10"/>
      <c r="D124" s="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2"/>
      <c r="C125" s="10"/>
      <c r="D125" s="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2"/>
      <c r="C126" s="10"/>
      <c r="D126" s="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2"/>
      <c r="C127" s="10"/>
      <c r="D127" s="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2"/>
      <c r="C128" s="10"/>
      <c r="D128" s="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2"/>
      <c r="C129" s="10"/>
      <c r="D129" s="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2"/>
      <c r="C130" s="10"/>
      <c r="D130" s="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2"/>
      <c r="C131" s="10"/>
      <c r="D131" s="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2"/>
      <c r="C132" s="10"/>
      <c r="D132" s="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2"/>
      <c r="C133" s="10"/>
      <c r="D133" s="5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2"/>
      <c r="C134" s="10"/>
      <c r="D134" s="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2"/>
      <c r="C135" s="10"/>
      <c r="D135" s="5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2"/>
      <c r="C136" s="10"/>
      <c r="D136" s="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2"/>
      <c r="C137" s="10"/>
      <c r="D137" s="5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2"/>
      <c r="C138" s="10"/>
      <c r="D138" s="5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2"/>
      <c r="C139" s="10"/>
      <c r="D139" s="5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2"/>
      <c r="C140" s="10"/>
      <c r="D140" s="5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2"/>
      <c r="C141" s="10"/>
      <c r="D141" s="5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2"/>
      <c r="C142" s="10"/>
      <c r="D142" s="5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2"/>
      <c r="C143" s="10"/>
      <c r="D143" s="5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2"/>
      <c r="C144" s="10"/>
      <c r="D144" s="5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2"/>
      <c r="C145" s="10"/>
      <c r="D145" s="5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2"/>
      <c r="C146" s="10"/>
      <c r="D146" s="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2"/>
      <c r="C147" s="10"/>
      <c r="D147" s="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2"/>
      <c r="C148" s="10"/>
      <c r="D148" s="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2"/>
      <c r="C149" s="10"/>
      <c r="D149" s="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2"/>
      <c r="C150" s="10"/>
      <c r="D150" s="5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2"/>
      <c r="C151" s="10"/>
      <c r="D151" s="5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2"/>
      <c r="C152" s="10"/>
      <c r="D152" s="5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2"/>
      <c r="C153" s="10"/>
      <c r="D153" s="5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2"/>
      <c r="C154" s="10"/>
      <c r="D154" s="5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2"/>
      <c r="C155" s="10"/>
      <c r="D155" s="5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2"/>
      <c r="C156" s="10"/>
      <c r="D156" s="5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2"/>
      <c r="C157" s="10"/>
      <c r="D157" s="5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2"/>
      <c r="C158" s="10"/>
      <c r="D158" s="5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2"/>
      <c r="C159" s="10"/>
      <c r="D159" s="5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2"/>
      <c r="C160" s="10"/>
      <c r="D160" s="5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2"/>
      <c r="C161" s="10"/>
      <c r="D161" s="5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2"/>
      <c r="C162" s="10"/>
      <c r="D162" s="5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2"/>
      <c r="C163" s="10"/>
      <c r="D163" s="5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2"/>
      <c r="C164" s="10"/>
      <c r="D164" s="5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2"/>
      <c r="C165" s="10"/>
      <c r="D165" s="5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2"/>
      <c r="C166" s="10"/>
      <c r="D166" s="5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2"/>
      <c r="C167" s="10"/>
      <c r="D167" s="5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2"/>
      <c r="C168" s="10"/>
      <c r="D168" s="5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2"/>
      <c r="C169" s="10"/>
      <c r="D169" s="5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2"/>
      <c r="C170" s="10"/>
      <c r="D170" s="5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2"/>
      <c r="C171" s="10"/>
      <c r="D171" s="5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2"/>
      <c r="C172" s="10"/>
      <c r="D172" s="5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2"/>
      <c r="C173" s="10"/>
      <c r="D173" s="5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2"/>
      <c r="C174" s="10"/>
      <c r="D174" s="5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2"/>
      <c r="C175" s="10"/>
      <c r="D175" s="5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2"/>
      <c r="C176" s="10"/>
      <c r="D176" s="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2"/>
      <c r="C177" s="10"/>
      <c r="D177" s="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2"/>
      <c r="C178" s="10"/>
      <c r="D178" s="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2"/>
      <c r="C179" s="10"/>
      <c r="D179" s="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2"/>
      <c r="C180" s="10"/>
      <c r="D180" s="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2"/>
      <c r="C181" s="10"/>
      <c r="D181" s="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2"/>
      <c r="C182" s="10"/>
      <c r="D182" s="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2"/>
      <c r="C183" s="10"/>
      <c r="D183" s="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2"/>
      <c r="C184" s="10"/>
      <c r="D184" s="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2"/>
      <c r="C185" s="10"/>
      <c r="D185" s="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2"/>
      <c r="C186" s="10"/>
      <c r="D186" s="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2"/>
      <c r="C187" s="10"/>
      <c r="D187" s="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2"/>
      <c r="C188" s="10"/>
      <c r="D188" s="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2"/>
      <c r="C189" s="10"/>
      <c r="D189" s="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2"/>
      <c r="C190" s="10"/>
      <c r="D190" s="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2"/>
      <c r="C191" s="10"/>
      <c r="D191" s="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2"/>
      <c r="C192" s="10"/>
      <c r="D192" s="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2"/>
      <c r="C193" s="10"/>
      <c r="D193" s="5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2"/>
      <c r="C194" s="10"/>
      <c r="D194" s="5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2"/>
      <c r="C195" s="10"/>
      <c r="D195" s="5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2"/>
      <c r="C196" s="10"/>
      <c r="D196" s="5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2"/>
      <c r="C197" s="10"/>
      <c r="D197" s="5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2"/>
      <c r="C198" s="10"/>
      <c r="D198" s="5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2"/>
      <c r="C199" s="10"/>
      <c r="D199" s="5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2"/>
      <c r="C200" s="10"/>
      <c r="D200" s="5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2"/>
      <c r="C201" s="10"/>
      <c r="D201" s="5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2"/>
      <c r="C202" s="10"/>
      <c r="D202" s="5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2"/>
      <c r="C203" s="10"/>
      <c r="D203" s="5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2"/>
      <c r="C204" s="10"/>
      <c r="D204" s="5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2"/>
      <c r="C205" s="10"/>
      <c r="D205" s="5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2"/>
      <c r="C206" s="10"/>
      <c r="D206" s="5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2"/>
      <c r="C207" s="10"/>
      <c r="D207" s="5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2"/>
      <c r="C208" s="10"/>
      <c r="D208" s="5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2"/>
      <c r="C209" s="10"/>
      <c r="D209" s="5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2"/>
      <c r="C210" s="10"/>
      <c r="D210" s="5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2"/>
      <c r="C211" s="10"/>
      <c r="D211" s="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2"/>
      <c r="C212" s="10"/>
      <c r="D212" s="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2"/>
      <c r="C213" s="10"/>
      <c r="D213" s="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2"/>
      <c r="C214" s="10"/>
      <c r="D214" s="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2"/>
      <c r="C215" s="10"/>
      <c r="D215" s="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2"/>
      <c r="C216" s="10"/>
      <c r="D216" s="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2"/>
      <c r="C217" s="10"/>
      <c r="D217" s="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2"/>
      <c r="C218" s="10"/>
      <c r="D218" s="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2"/>
      <c r="C219" s="10"/>
      <c r="D219" s="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2"/>
      <c r="C220" s="10"/>
      <c r="D220" s="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2"/>
      <c r="C221" s="10"/>
      <c r="D221" s="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2"/>
      <c r="C222" s="10"/>
      <c r="D222" s="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2"/>
      <c r="C223" s="10"/>
      <c r="D223" s="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2"/>
      <c r="C224" s="10"/>
      <c r="D224" s="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2"/>
      <c r="C225" s="10"/>
      <c r="D225" s="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2"/>
      <c r="C226" s="10"/>
      <c r="D226" s="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2"/>
      <c r="C227" s="10"/>
      <c r="D227" s="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2"/>
      <c r="C228" s="10"/>
      <c r="D228" s="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2"/>
      <c r="C229" s="10"/>
      <c r="D229" s="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2"/>
      <c r="C230" s="10"/>
      <c r="D230" s="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2"/>
      <c r="C231" s="10"/>
      <c r="D231" s="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2"/>
      <c r="C232" s="10"/>
      <c r="D232" s="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2"/>
      <c r="C233" s="10"/>
      <c r="D233" s="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2"/>
      <c r="C234" s="10"/>
      <c r="D234" s="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2"/>
      <c r="C235" s="10"/>
      <c r="D235" s="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2"/>
      <c r="C236" s="10"/>
      <c r="D236" s="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2"/>
      <c r="C237" s="10"/>
      <c r="D237" s="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2"/>
      <c r="C238" s="10"/>
      <c r="D238" s="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2"/>
      <c r="C239" s="10"/>
      <c r="D239" s="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2"/>
      <c r="C240" s="10"/>
      <c r="D240" s="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2"/>
      <c r="C241" s="10"/>
      <c r="D241" s="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2"/>
      <c r="C242" s="10"/>
      <c r="D242" s="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2"/>
      <c r="C243" s="10"/>
      <c r="D243" s="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2"/>
      <c r="C244" s="10"/>
      <c r="D244" s="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2"/>
      <c r="C245" s="10"/>
      <c r="D245" s="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2"/>
      <c r="C246" s="10"/>
      <c r="D246" s="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2"/>
      <c r="C247" s="10"/>
      <c r="D247" s="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2"/>
      <c r="C248" s="10"/>
      <c r="D248" s="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2"/>
      <c r="C249" s="10"/>
      <c r="D249" s="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2"/>
      <c r="C250" s="10"/>
      <c r="D250" s="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2"/>
      <c r="C251" s="10"/>
      <c r="D251" s="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2"/>
      <c r="C252" s="10"/>
      <c r="D252" s="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2"/>
      <c r="C253" s="10"/>
      <c r="D253" s="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2"/>
      <c r="C254" s="10"/>
      <c r="D254" s="5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2"/>
      <c r="C255" s="10"/>
      <c r="D255" s="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2"/>
      <c r="C256" s="10"/>
      <c r="D256" s="5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2"/>
      <c r="C257" s="10"/>
      <c r="D257" s="5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2"/>
      <c r="C258" s="10"/>
      <c r="D258" s="5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2"/>
      <c r="C259" s="10"/>
      <c r="D259" s="5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2"/>
      <c r="C260" s="10"/>
      <c r="D260" s="5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10"/>
      <c r="D261" s="5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10"/>
      <c r="D262" s="5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10"/>
      <c r="D263" s="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10"/>
      <c r="D264" s="5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10"/>
      <c r="D265" s="5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10"/>
      <c r="D266" s="5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10"/>
      <c r="D267" s="5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10"/>
      <c r="D268" s="5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10"/>
      <c r="D269" s="5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10"/>
      <c r="D270" s="5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10"/>
      <c r="D271" s="5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10"/>
      <c r="D272" s="5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10"/>
      <c r="D273" s="5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10"/>
      <c r="D274" s="5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10"/>
      <c r="D275" s="5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10"/>
      <c r="D276" s="5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10"/>
      <c r="D277" s="5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10"/>
      <c r="D278" s="5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10"/>
      <c r="D279" s="5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10"/>
      <c r="D280" s="5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10"/>
      <c r="D281" s="5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10"/>
      <c r="D282" s="5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10"/>
      <c r="D283" s="5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10"/>
      <c r="D284" s="5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10"/>
      <c r="D285" s="5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10"/>
      <c r="D286" s="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10"/>
      <c r="D287" s="5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10"/>
      <c r="D288" s="5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10"/>
      <c r="D289" s="5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10"/>
      <c r="D290" s="5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10"/>
      <c r="D291" s="5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10"/>
      <c r="D292" s="5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10"/>
      <c r="D293" s="5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10"/>
      <c r="D294" s="5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10"/>
      <c r="D295" s="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10"/>
      <c r="D296" s="5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10"/>
      <c r="D297" s="5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10"/>
      <c r="D298" s="5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10"/>
      <c r="D299" s="5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10"/>
      <c r="D300" s="5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10"/>
      <c r="D301" s="5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101"/>
  <dataValidations>
    <dataValidation type="list" allowBlank="1" showErrorMessage="1" sqref="H9">
      <formula1>$B$2:$B$101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6.29"/>
    <col customWidth="1" min="5" max="5" width="9.71"/>
    <col customWidth="1" min="6" max="7" width="15.43"/>
    <col customWidth="1" min="8" max="10" width="9.14"/>
    <col customWidth="1" hidden="1" min="11" max="11" width="9.14"/>
    <col customWidth="1" min="12" max="26" width="9.14"/>
  </cols>
  <sheetData>
    <row r="1">
      <c r="A1" s="1" t="s">
        <v>232</v>
      </c>
      <c r="B1" s="1" t="s">
        <v>233</v>
      </c>
      <c r="C1" s="1" t="s">
        <v>234</v>
      </c>
      <c r="D1" s="1" t="s">
        <v>235</v>
      </c>
      <c r="E1" s="16"/>
      <c r="F1" s="1" t="s">
        <v>234</v>
      </c>
      <c r="G1" s="17" t="s">
        <v>236</v>
      </c>
      <c r="H1" s="2"/>
      <c r="I1" s="2"/>
      <c r="J1" s="2"/>
      <c r="K1" s="5" t="s">
        <v>237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8">
        <v>44197.0</v>
      </c>
      <c r="B2" s="5" t="s">
        <v>238</v>
      </c>
      <c r="C2" s="5" t="s">
        <v>237</v>
      </c>
      <c r="D2" s="10" t="s">
        <v>239</v>
      </c>
      <c r="E2" s="16"/>
      <c r="F2" s="5"/>
      <c r="G2" s="5"/>
      <c r="H2" s="2"/>
      <c r="I2" s="2"/>
      <c r="J2" s="2"/>
      <c r="K2" s="5" t="s">
        <v>240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8">
        <v>44197.0</v>
      </c>
      <c r="B3" s="5" t="s">
        <v>241</v>
      </c>
      <c r="C3" s="5" t="s">
        <v>236</v>
      </c>
      <c r="D3" s="10" t="s">
        <v>239</v>
      </c>
      <c r="E3" s="5"/>
      <c r="F3" s="19" t="s">
        <v>242</v>
      </c>
      <c r="G3" s="20" t="str">
        <f t="array" ref="G3">XLOOKUP(G1,C:C,B:B)</f>
        <v>Projeto 32</v>
      </c>
      <c r="H3" s="2"/>
      <c r="I3" s="2"/>
      <c r="J3" s="2"/>
      <c r="K3" s="5" t="s">
        <v>236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8">
        <v>44198.0</v>
      </c>
      <c r="B4" s="5" t="s">
        <v>243</v>
      </c>
      <c r="C4" s="5" t="s">
        <v>236</v>
      </c>
      <c r="D4" s="10" t="s">
        <v>244</v>
      </c>
      <c r="E4" s="5"/>
      <c r="F4" s="19" t="s">
        <v>232</v>
      </c>
      <c r="G4" s="21">
        <f t="array" ref="G4">XLOOKUP(G3,B:B,A:A)</f>
        <v>44197</v>
      </c>
      <c r="H4" s="2"/>
      <c r="I4" s="2"/>
      <c r="J4" s="2"/>
      <c r="K4" s="5" t="s">
        <v>245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8">
        <v>44199.0</v>
      </c>
      <c r="B5" s="5" t="s">
        <v>246</v>
      </c>
      <c r="C5" s="5" t="s">
        <v>240</v>
      </c>
      <c r="D5" s="10" t="s">
        <v>247</v>
      </c>
      <c r="E5" s="5"/>
      <c r="F5" s="19" t="s">
        <v>235</v>
      </c>
      <c r="G5" s="20" t="str">
        <f t="array" ref="G5">XLOOKUP(G3,B:B,D:D)</f>
        <v>Concluído</v>
      </c>
      <c r="H5" s="2"/>
      <c r="I5" s="2"/>
      <c r="J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8">
        <v>44199.0</v>
      </c>
      <c r="B6" s="5" t="s">
        <v>248</v>
      </c>
      <c r="C6" s="5" t="s">
        <v>245</v>
      </c>
      <c r="D6" s="10" t="s">
        <v>247</v>
      </c>
      <c r="E6" s="5"/>
      <c r="F6" s="5"/>
      <c r="G6" s="20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>
        <v>44199.0</v>
      </c>
      <c r="B7" s="5" t="s">
        <v>249</v>
      </c>
      <c r="C7" s="5" t="s">
        <v>236</v>
      </c>
      <c r="D7" s="10" t="s">
        <v>244</v>
      </c>
      <c r="E7" s="5"/>
      <c r="F7" s="19" t="s">
        <v>250</v>
      </c>
      <c r="G7" s="20" t="str">
        <f t="array" ref="G7">XLOOKUP(G1,C:C,B:B,,,-1)</f>
        <v>Projeto 20</v>
      </c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8">
        <v>44199.0</v>
      </c>
      <c r="B8" s="5" t="s">
        <v>251</v>
      </c>
      <c r="C8" s="5" t="s">
        <v>240</v>
      </c>
      <c r="D8" s="10" t="s">
        <v>244</v>
      </c>
      <c r="E8" s="5"/>
      <c r="F8" s="19" t="s">
        <v>232</v>
      </c>
      <c r="G8" s="21">
        <f t="array" ref="G8">XLOOKUP(G7,B:B,A:A,,,-1)</f>
        <v>44222</v>
      </c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>
        <v>44200.0</v>
      </c>
      <c r="B9" s="5" t="s">
        <v>252</v>
      </c>
      <c r="C9" s="5" t="s">
        <v>240</v>
      </c>
      <c r="D9" s="10" t="s">
        <v>239</v>
      </c>
      <c r="E9" s="5"/>
      <c r="F9" s="19" t="s">
        <v>235</v>
      </c>
      <c r="G9" s="20" t="str">
        <f t="array" ref="G9">XLOOKUP(G7,B:B,D:D,,,-1)</f>
        <v>Nota Fiscal</v>
      </c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8">
        <v>44201.0</v>
      </c>
      <c r="B10" s="5" t="s">
        <v>253</v>
      </c>
      <c r="C10" s="5" t="s">
        <v>245</v>
      </c>
      <c r="D10" s="10" t="s">
        <v>244</v>
      </c>
      <c r="E10" s="5"/>
      <c r="F10" s="5"/>
      <c r="G10" s="5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>
        <v>44202.0</v>
      </c>
      <c r="B11" s="5" t="s">
        <v>254</v>
      </c>
      <c r="C11" s="5" t="s">
        <v>236</v>
      </c>
      <c r="D11" s="10" t="s">
        <v>244</v>
      </c>
      <c r="E11" s="5"/>
      <c r="F11" s="18"/>
      <c r="G11" s="5"/>
      <c r="H11" s="2"/>
      <c r="I11" s="2"/>
      <c r="J11" s="2"/>
      <c r="L11" s="2"/>
      <c r="M11" s="2"/>
      <c r="N11" s="2"/>
      <c r="O11" s="2"/>
      <c r="P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>
        <v>44203.0</v>
      </c>
      <c r="B12" s="5" t="s">
        <v>255</v>
      </c>
      <c r="C12" s="5" t="s">
        <v>240</v>
      </c>
      <c r="D12" s="10" t="s">
        <v>256</v>
      </c>
      <c r="E12" s="5"/>
      <c r="F12" s="18"/>
      <c r="G12" s="5"/>
      <c r="H12" s="2"/>
      <c r="I12" s="2"/>
      <c r="J12" s="2"/>
      <c r="L12" s="2"/>
      <c r="M12" s="2"/>
      <c r="N12" s="2"/>
      <c r="O12" s="2"/>
      <c r="P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>
        <v>44203.0</v>
      </c>
      <c r="B13" s="5" t="s">
        <v>257</v>
      </c>
      <c r="C13" s="5" t="s">
        <v>237</v>
      </c>
      <c r="D13" s="10" t="s">
        <v>256</v>
      </c>
      <c r="E13" s="5"/>
      <c r="F13" s="5"/>
      <c r="G13" s="5"/>
      <c r="H13" s="2"/>
      <c r="I13" s="2"/>
      <c r="J13" s="2"/>
      <c r="L13" s="2"/>
      <c r="M13" s="2"/>
      <c r="N13" s="2"/>
      <c r="O13" s="2"/>
      <c r="P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8">
        <v>44204.0</v>
      </c>
      <c r="B14" s="5" t="s">
        <v>258</v>
      </c>
      <c r="C14" s="5" t="s">
        <v>245</v>
      </c>
      <c r="D14" s="10" t="s">
        <v>247</v>
      </c>
      <c r="E14" s="5"/>
      <c r="F14" s="5"/>
      <c r="G14" s="5"/>
      <c r="H14" s="2"/>
      <c r="I14" s="2"/>
      <c r="J14" s="2"/>
      <c r="L14" s="2"/>
      <c r="M14" s="2"/>
      <c r="N14" s="2"/>
      <c r="O14" s="2"/>
      <c r="P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8">
        <v>44206.0</v>
      </c>
      <c r="B15" s="5" t="s">
        <v>259</v>
      </c>
      <c r="C15" s="5" t="s">
        <v>240</v>
      </c>
      <c r="D15" s="10" t="s">
        <v>247</v>
      </c>
      <c r="E15" s="5"/>
      <c r="F15" s="5"/>
      <c r="G15" s="5"/>
      <c r="H15" s="2"/>
      <c r="I15" s="2"/>
      <c r="J15" s="2"/>
      <c r="L15" s="2"/>
      <c r="M15" s="2"/>
      <c r="N15" s="2"/>
      <c r="O15" s="2"/>
      <c r="P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8">
        <v>44206.0</v>
      </c>
      <c r="B16" s="5" t="s">
        <v>260</v>
      </c>
      <c r="C16" s="5" t="s">
        <v>240</v>
      </c>
      <c r="D16" s="10" t="s">
        <v>256</v>
      </c>
      <c r="E16" s="5"/>
      <c r="F16" s="5"/>
      <c r="G16" s="5"/>
      <c r="H16" s="2"/>
      <c r="I16" s="2"/>
      <c r="J16" s="2"/>
      <c r="L16" s="2"/>
      <c r="M16" s="2"/>
      <c r="N16" s="2"/>
      <c r="O16" s="2"/>
      <c r="P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8">
        <v>44206.0</v>
      </c>
      <c r="B17" s="5" t="s">
        <v>261</v>
      </c>
      <c r="C17" s="5" t="s">
        <v>237</v>
      </c>
      <c r="D17" s="10" t="s">
        <v>247</v>
      </c>
      <c r="E17" s="5"/>
      <c r="F17" s="5"/>
      <c r="G17" s="5"/>
      <c r="H17" s="2"/>
      <c r="I17" s="2"/>
      <c r="J17" s="2"/>
      <c r="L17" s="2"/>
      <c r="M17" s="2"/>
      <c r="N17" s="2"/>
      <c r="O17" s="2"/>
      <c r="P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8">
        <v>44206.0</v>
      </c>
      <c r="B18" s="5" t="s">
        <v>262</v>
      </c>
      <c r="C18" s="5" t="s">
        <v>236</v>
      </c>
      <c r="D18" s="10" t="s">
        <v>239</v>
      </c>
      <c r="E18" s="5"/>
      <c r="F18" s="5"/>
      <c r="G18" s="5"/>
      <c r="H18" s="2"/>
      <c r="I18" s="2"/>
      <c r="J18" s="2"/>
      <c r="L18" s="2"/>
      <c r="M18" s="2"/>
      <c r="N18" s="2"/>
      <c r="O18" s="2"/>
      <c r="P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">
        <v>44209.0</v>
      </c>
      <c r="B19" s="5" t="s">
        <v>263</v>
      </c>
      <c r="C19" s="5" t="s">
        <v>240</v>
      </c>
      <c r="D19" s="10" t="s">
        <v>256</v>
      </c>
      <c r="E19" s="5"/>
      <c r="F19" s="5"/>
      <c r="G19" s="5"/>
      <c r="H19" s="2"/>
      <c r="I19" s="2"/>
      <c r="J19" s="2"/>
      <c r="L19" s="2"/>
      <c r="M19" s="2"/>
      <c r="N19" s="2"/>
      <c r="O19" s="2"/>
      <c r="P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8">
        <v>44209.0</v>
      </c>
      <c r="B20" s="5" t="s">
        <v>264</v>
      </c>
      <c r="C20" s="5" t="s">
        <v>245</v>
      </c>
      <c r="D20" s="10" t="s">
        <v>239</v>
      </c>
      <c r="E20" s="5"/>
      <c r="F20" s="5"/>
      <c r="G20" s="5"/>
      <c r="H20" s="2"/>
      <c r="I20" s="2"/>
      <c r="J20" s="2"/>
      <c r="L20" s="2"/>
      <c r="M20" s="2"/>
      <c r="N20" s="2"/>
      <c r="O20" s="2"/>
      <c r="P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8">
        <v>44210.0</v>
      </c>
      <c r="B21" s="5" t="s">
        <v>265</v>
      </c>
      <c r="C21" s="5" t="s">
        <v>245</v>
      </c>
      <c r="D21" s="10" t="s">
        <v>239</v>
      </c>
      <c r="E21" s="5"/>
      <c r="F21" s="5"/>
      <c r="G21" s="5"/>
      <c r="H21" s="2"/>
      <c r="I21" s="2"/>
      <c r="J21" s="2"/>
      <c r="L21" s="2"/>
      <c r="M21" s="2"/>
      <c r="N21" s="2"/>
      <c r="O21" s="2"/>
      <c r="P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8">
        <v>44211.0</v>
      </c>
      <c r="B22" s="5" t="s">
        <v>266</v>
      </c>
      <c r="C22" s="5" t="s">
        <v>245</v>
      </c>
      <c r="D22" s="10" t="s">
        <v>247</v>
      </c>
      <c r="E22" s="5"/>
      <c r="F22" s="5"/>
      <c r="G22" s="5"/>
      <c r="H22" s="2"/>
      <c r="I22" s="2"/>
      <c r="J22" s="2"/>
      <c r="L22" s="2"/>
      <c r="M22" s="2"/>
      <c r="N22" s="2"/>
      <c r="O22" s="2"/>
      <c r="P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8">
        <v>44211.0</v>
      </c>
      <c r="B23" s="5" t="s">
        <v>267</v>
      </c>
      <c r="C23" s="5" t="s">
        <v>237</v>
      </c>
      <c r="D23" s="10" t="s">
        <v>268</v>
      </c>
      <c r="E23" s="5"/>
      <c r="F23" s="5"/>
      <c r="G23" s="5"/>
      <c r="H23" s="2"/>
      <c r="I23" s="2"/>
      <c r="J23" s="2"/>
      <c r="L23" s="2"/>
      <c r="M23" s="2"/>
      <c r="N23" s="2"/>
      <c r="O23" s="2"/>
      <c r="P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8">
        <v>44211.0</v>
      </c>
      <c r="B24" s="5" t="s">
        <v>269</v>
      </c>
      <c r="C24" s="5" t="s">
        <v>237</v>
      </c>
      <c r="D24" s="10" t="s">
        <v>268</v>
      </c>
      <c r="E24" s="5"/>
      <c r="F24" s="5"/>
      <c r="G24" s="5"/>
      <c r="H24" s="2"/>
      <c r="I24" s="2"/>
      <c r="J24" s="2"/>
      <c r="L24" s="2"/>
      <c r="M24" s="2"/>
      <c r="N24" s="2"/>
      <c r="O24" s="2"/>
      <c r="P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8">
        <v>44213.0</v>
      </c>
      <c r="B25" s="5" t="s">
        <v>270</v>
      </c>
      <c r="C25" s="5" t="s">
        <v>237</v>
      </c>
      <c r="D25" s="10" t="s">
        <v>247</v>
      </c>
      <c r="E25" s="5"/>
      <c r="F25" s="5"/>
      <c r="G25" s="5"/>
      <c r="H25" s="2"/>
      <c r="I25" s="2"/>
      <c r="J25" s="2"/>
      <c r="L25" s="2"/>
      <c r="M25" s="2"/>
      <c r="N25" s="2"/>
      <c r="O25" s="2"/>
      <c r="P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8">
        <v>44213.0</v>
      </c>
      <c r="B26" s="5" t="s">
        <v>271</v>
      </c>
      <c r="C26" s="5" t="s">
        <v>236</v>
      </c>
      <c r="D26" s="10" t="s">
        <v>247</v>
      </c>
      <c r="E26" s="5"/>
      <c r="F26" s="5"/>
      <c r="G26" s="5"/>
      <c r="H26" s="2"/>
      <c r="I26" s="2"/>
      <c r="J26" s="2"/>
      <c r="L26" s="2"/>
      <c r="M26" s="2"/>
      <c r="N26" s="2"/>
      <c r="O26" s="2"/>
      <c r="P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8">
        <v>44213.0</v>
      </c>
      <c r="B27" s="5" t="s">
        <v>272</v>
      </c>
      <c r="C27" s="5" t="s">
        <v>237</v>
      </c>
      <c r="D27" s="10" t="s">
        <v>247</v>
      </c>
      <c r="E27" s="5"/>
      <c r="F27" s="5"/>
      <c r="G27" s="5"/>
      <c r="H27" s="2"/>
      <c r="I27" s="2"/>
      <c r="J27" s="2"/>
      <c r="L27" s="2"/>
      <c r="M27" s="2"/>
      <c r="N27" s="2"/>
      <c r="O27" s="2"/>
      <c r="P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8">
        <v>44214.0</v>
      </c>
      <c r="B28" s="5" t="s">
        <v>273</v>
      </c>
      <c r="C28" s="5" t="s">
        <v>245</v>
      </c>
      <c r="D28" s="10" t="s">
        <v>244</v>
      </c>
      <c r="E28" s="5"/>
      <c r="F28" s="5"/>
      <c r="G28" s="5"/>
      <c r="H28" s="2"/>
      <c r="I28" s="2"/>
      <c r="J28" s="2"/>
      <c r="L28" s="2"/>
      <c r="M28" s="2"/>
      <c r="N28" s="2"/>
      <c r="O28" s="2"/>
      <c r="P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8">
        <v>44214.0</v>
      </c>
      <c r="B29" s="5" t="s">
        <v>274</v>
      </c>
      <c r="C29" s="5" t="s">
        <v>240</v>
      </c>
      <c r="D29" s="10" t="s">
        <v>244</v>
      </c>
      <c r="E29" s="5"/>
      <c r="F29" s="5"/>
      <c r="G29" s="5"/>
      <c r="H29" s="2"/>
      <c r="I29" s="2"/>
      <c r="J29" s="2"/>
      <c r="L29" s="2"/>
      <c r="M29" s="2"/>
      <c r="N29" s="2"/>
      <c r="O29" s="2"/>
      <c r="P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8">
        <v>44214.0</v>
      </c>
      <c r="B30" s="5" t="s">
        <v>275</v>
      </c>
      <c r="C30" s="5" t="s">
        <v>240</v>
      </c>
      <c r="D30" s="10" t="s">
        <v>268</v>
      </c>
      <c r="E30" s="5"/>
      <c r="F30" s="5"/>
      <c r="G30" s="5"/>
      <c r="H30" s="2"/>
      <c r="I30" s="2"/>
      <c r="J30" s="2"/>
      <c r="L30" s="2"/>
      <c r="M30" s="2"/>
      <c r="N30" s="2"/>
      <c r="O30" s="2"/>
      <c r="P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8">
        <v>44215.0</v>
      </c>
      <c r="B31" s="5" t="s">
        <v>276</v>
      </c>
      <c r="C31" s="5" t="s">
        <v>245</v>
      </c>
      <c r="D31" s="10" t="s">
        <v>256</v>
      </c>
      <c r="E31" s="5"/>
      <c r="F31" s="5"/>
      <c r="G31" s="5"/>
      <c r="H31" s="2"/>
      <c r="I31" s="2"/>
      <c r="J31" s="2"/>
      <c r="L31" s="2"/>
      <c r="M31" s="2"/>
      <c r="N31" s="2"/>
      <c r="O31" s="2"/>
      <c r="P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8">
        <v>44216.0</v>
      </c>
      <c r="B32" s="5" t="s">
        <v>277</v>
      </c>
      <c r="C32" s="5" t="s">
        <v>237</v>
      </c>
      <c r="D32" s="10" t="s">
        <v>239</v>
      </c>
      <c r="E32" s="5"/>
      <c r="F32" s="5"/>
      <c r="G32" s="5"/>
      <c r="H32" s="2"/>
      <c r="I32" s="2"/>
      <c r="J32" s="2"/>
      <c r="L32" s="2"/>
      <c r="M32" s="2"/>
      <c r="N32" s="2"/>
      <c r="O32" s="2"/>
      <c r="P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8">
        <v>44216.0</v>
      </c>
      <c r="B33" s="5" t="s">
        <v>278</v>
      </c>
      <c r="C33" s="5" t="s">
        <v>245</v>
      </c>
      <c r="D33" s="10" t="s">
        <v>268</v>
      </c>
      <c r="E33" s="5"/>
      <c r="F33" s="5"/>
      <c r="G33" s="5"/>
      <c r="H33" s="2"/>
      <c r="I33" s="2"/>
      <c r="J33" s="2"/>
      <c r="L33" s="2"/>
      <c r="M33" s="2"/>
      <c r="N33" s="2"/>
      <c r="O33" s="2"/>
      <c r="P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8">
        <v>44216.0</v>
      </c>
      <c r="B34" s="5" t="s">
        <v>279</v>
      </c>
      <c r="C34" s="5" t="s">
        <v>236</v>
      </c>
      <c r="D34" s="10" t="s">
        <v>268</v>
      </c>
      <c r="E34" s="5"/>
      <c r="F34" s="5"/>
      <c r="G34" s="5"/>
      <c r="H34" s="2"/>
      <c r="I34" s="2"/>
      <c r="J34" s="2"/>
      <c r="L34" s="2"/>
      <c r="M34" s="2"/>
      <c r="N34" s="2"/>
      <c r="O34" s="2"/>
      <c r="P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8">
        <v>44218.0</v>
      </c>
      <c r="B35" s="5" t="s">
        <v>280</v>
      </c>
      <c r="C35" s="5" t="s">
        <v>237</v>
      </c>
      <c r="D35" s="10" t="s">
        <v>244</v>
      </c>
      <c r="E35" s="5"/>
      <c r="F35" s="5"/>
      <c r="G35" s="5"/>
      <c r="H35" s="2"/>
      <c r="I35" s="2"/>
      <c r="J35" s="2"/>
      <c r="L35" s="2"/>
      <c r="M35" s="2"/>
      <c r="N35" s="2"/>
      <c r="O35" s="2"/>
      <c r="P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8">
        <v>44218.0</v>
      </c>
      <c r="B36" s="5" t="s">
        <v>281</v>
      </c>
      <c r="C36" s="5" t="s">
        <v>245</v>
      </c>
      <c r="D36" s="10" t="s">
        <v>247</v>
      </c>
      <c r="E36" s="5"/>
      <c r="F36" s="5"/>
      <c r="G36" s="5"/>
      <c r="H36" s="2"/>
      <c r="I36" s="2"/>
      <c r="J36" s="2"/>
      <c r="L36" s="2"/>
      <c r="M36" s="2"/>
      <c r="N36" s="2"/>
      <c r="O36" s="2"/>
      <c r="P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8">
        <v>44218.0</v>
      </c>
      <c r="B37" s="5" t="s">
        <v>282</v>
      </c>
      <c r="C37" s="5" t="s">
        <v>236</v>
      </c>
      <c r="D37" s="10" t="s">
        <v>256</v>
      </c>
      <c r="E37" s="5"/>
      <c r="F37" s="5"/>
      <c r="G37" s="5"/>
      <c r="H37" s="2"/>
      <c r="I37" s="2"/>
      <c r="J37" s="2"/>
      <c r="L37" s="2"/>
      <c r="M37" s="2"/>
      <c r="N37" s="2"/>
      <c r="O37" s="2"/>
      <c r="P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8">
        <v>44220.0</v>
      </c>
      <c r="B38" s="5" t="s">
        <v>283</v>
      </c>
      <c r="C38" s="5" t="s">
        <v>245</v>
      </c>
      <c r="D38" s="10" t="s">
        <v>256</v>
      </c>
      <c r="E38" s="5"/>
      <c r="F38" s="5"/>
      <c r="G38" s="5"/>
      <c r="H38" s="2"/>
      <c r="I38" s="2"/>
      <c r="J38" s="2"/>
      <c r="L38" s="2"/>
      <c r="M38" s="2"/>
      <c r="N38" s="2"/>
      <c r="O38" s="2"/>
      <c r="P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8">
        <v>44220.0</v>
      </c>
      <c r="B39" s="5" t="s">
        <v>284</v>
      </c>
      <c r="C39" s="5" t="s">
        <v>236</v>
      </c>
      <c r="D39" s="10" t="s">
        <v>256</v>
      </c>
      <c r="E39" s="5"/>
      <c r="F39" s="5"/>
      <c r="G39" s="5"/>
      <c r="H39" s="2"/>
      <c r="I39" s="2"/>
      <c r="J39" s="2"/>
      <c r="L39" s="2"/>
      <c r="M39" s="2"/>
      <c r="N39" s="2"/>
      <c r="O39" s="2"/>
      <c r="P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8">
        <v>44221.0</v>
      </c>
      <c r="B40" s="5" t="s">
        <v>285</v>
      </c>
      <c r="C40" s="5" t="s">
        <v>240</v>
      </c>
      <c r="D40" s="10" t="s">
        <v>244</v>
      </c>
      <c r="E40" s="5"/>
      <c r="F40" s="5"/>
      <c r="G40" s="5"/>
      <c r="H40" s="2"/>
      <c r="I40" s="2"/>
      <c r="J40" s="2"/>
      <c r="L40" s="2"/>
      <c r="M40" s="2"/>
      <c r="N40" s="2"/>
      <c r="O40" s="2"/>
      <c r="P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8">
        <v>44221.0</v>
      </c>
      <c r="B41" s="5" t="s">
        <v>286</v>
      </c>
      <c r="C41" s="5" t="s">
        <v>240</v>
      </c>
      <c r="D41" s="10" t="s">
        <v>247</v>
      </c>
      <c r="E41" s="5"/>
      <c r="F41" s="5"/>
      <c r="G41" s="5"/>
      <c r="H41" s="2"/>
      <c r="I41" s="2"/>
      <c r="J41" s="2"/>
      <c r="L41" s="2"/>
      <c r="M41" s="2"/>
      <c r="N41" s="2"/>
      <c r="O41" s="2"/>
      <c r="P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8">
        <v>44222.0</v>
      </c>
      <c r="B42" s="5" t="s">
        <v>287</v>
      </c>
      <c r="C42" s="5" t="s">
        <v>236</v>
      </c>
      <c r="D42" s="10" t="s">
        <v>244</v>
      </c>
      <c r="E42" s="5"/>
      <c r="F42" s="5"/>
      <c r="G42" s="5"/>
      <c r="H42" s="2"/>
      <c r="I42" s="2"/>
      <c r="J42" s="2"/>
      <c r="L42" s="2"/>
      <c r="M42" s="2"/>
      <c r="N42" s="2"/>
      <c r="O42" s="2"/>
      <c r="P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8">
        <v>44223.0</v>
      </c>
      <c r="B43" s="5" t="s">
        <v>288</v>
      </c>
      <c r="C43" s="5" t="s">
        <v>245</v>
      </c>
      <c r="D43" s="10" t="s">
        <v>244</v>
      </c>
      <c r="E43" s="5"/>
      <c r="F43" s="5"/>
      <c r="G43" s="5"/>
      <c r="H43" s="2"/>
      <c r="I43" s="2"/>
      <c r="J43" s="2"/>
      <c r="L43" s="2"/>
      <c r="M43" s="2"/>
      <c r="N43" s="2"/>
      <c r="O43" s="2"/>
      <c r="P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8">
        <v>44223.0</v>
      </c>
      <c r="B44" s="5" t="s">
        <v>289</v>
      </c>
      <c r="C44" s="5" t="s">
        <v>237</v>
      </c>
      <c r="D44" s="10" t="s">
        <v>256</v>
      </c>
      <c r="E44" s="5"/>
      <c r="F44" s="5"/>
      <c r="G44" s="5"/>
      <c r="H44" s="2"/>
      <c r="I44" s="2"/>
      <c r="J44" s="2"/>
      <c r="L44" s="2"/>
      <c r="M44" s="2"/>
      <c r="N44" s="2"/>
      <c r="O44" s="2"/>
      <c r="P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8">
        <v>44224.0</v>
      </c>
      <c r="B45" s="5" t="s">
        <v>290</v>
      </c>
      <c r="C45" s="5" t="s">
        <v>240</v>
      </c>
      <c r="D45" s="10" t="s">
        <v>244</v>
      </c>
      <c r="E45" s="5"/>
      <c r="F45" s="5"/>
      <c r="G45" s="5"/>
      <c r="H45" s="2"/>
      <c r="I45" s="2"/>
      <c r="J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8">
        <v>44225.0</v>
      </c>
      <c r="B46" s="5" t="s">
        <v>291</v>
      </c>
      <c r="C46" s="5" t="s">
        <v>240</v>
      </c>
      <c r="D46" s="10" t="s">
        <v>239</v>
      </c>
      <c r="E46" s="5"/>
      <c r="F46" s="5"/>
      <c r="G46" s="5"/>
      <c r="H46" s="2"/>
      <c r="I46" s="2"/>
      <c r="J46" s="2"/>
      <c r="L46" s="2"/>
      <c r="M46" s="2"/>
      <c r="N46" s="2"/>
      <c r="O46" s="2"/>
      <c r="P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8">
        <v>44225.0</v>
      </c>
      <c r="B47" s="5" t="s">
        <v>292</v>
      </c>
      <c r="C47" s="5" t="s">
        <v>240</v>
      </c>
      <c r="D47" s="10" t="s">
        <v>268</v>
      </c>
      <c r="E47" s="5"/>
      <c r="F47" s="5"/>
      <c r="G47" s="5"/>
      <c r="H47" s="2"/>
      <c r="I47" s="2"/>
      <c r="J47" s="2"/>
      <c r="L47" s="2"/>
      <c r="M47" s="2"/>
      <c r="N47" s="2"/>
      <c r="O47" s="2"/>
      <c r="P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8">
        <v>44225.0</v>
      </c>
      <c r="B48" s="5" t="s">
        <v>293</v>
      </c>
      <c r="C48" s="5" t="s">
        <v>240</v>
      </c>
      <c r="D48" s="10" t="s">
        <v>268</v>
      </c>
      <c r="E48" s="5"/>
      <c r="F48" s="5"/>
      <c r="G48" s="5"/>
      <c r="H48" s="2"/>
      <c r="I48" s="2"/>
      <c r="J48" s="2"/>
      <c r="L48" s="2"/>
      <c r="M48" s="2"/>
      <c r="N48" s="2"/>
      <c r="O48" s="2"/>
      <c r="P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8">
        <v>44225.0</v>
      </c>
      <c r="B49" s="5" t="s">
        <v>294</v>
      </c>
      <c r="C49" s="5" t="s">
        <v>245</v>
      </c>
      <c r="D49" s="10" t="s">
        <v>247</v>
      </c>
      <c r="E49" s="5"/>
      <c r="F49" s="5"/>
      <c r="G49" s="5"/>
      <c r="H49" s="2"/>
      <c r="I49" s="2"/>
      <c r="J49" s="2"/>
      <c r="L49" s="2"/>
      <c r="M49" s="2"/>
      <c r="N49" s="2"/>
      <c r="O49" s="2"/>
      <c r="P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8">
        <v>44227.0</v>
      </c>
      <c r="B50" s="5" t="s">
        <v>295</v>
      </c>
      <c r="C50" s="5" t="s">
        <v>245</v>
      </c>
      <c r="D50" s="10" t="s">
        <v>268</v>
      </c>
      <c r="E50" s="5"/>
      <c r="F50" s="5"/>
      <c r="G50" s="5"/>
      <c r="H50" s="2"/>
      <c r="I50" s="2"/>
      <c r="J50" s="2"/>
      <c r="K50" s="2"/>
      <c r="L50" s="2"/>
      <c r="M50" s="2"/>
      <c r="N50" s="2"/>
      <c r="O50" s="2"/>
      <c r="P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8"/>
      <c r="B51" s="5"/>
      <c r="C51" s="5"/>
      <c r="D51" s="10"/>
      <c r="E51" s="5"/>
      <c r="F51" s="5"/>
      <c r="G51" s="5"/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8"/>
      <c r="B52" s="5"/>
      <c r="C52" s="5"/>
      <c r="D52" s="10"/>
      <c r="E52" s="5"/>
      <c r="F52" s="5"/>
      <c r="G52" s="5"/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8"/>
      <c r="B53" s="5"/>
      <c r="C53" s="5"/>
      <c r="D53" s="10"/>
      <c r="E53" s="5"/>
      <c r="F53" s="5"/>
      <c r="G53" s="5"/>
      <c r="H53" s="2"/>
      <c r="I53" s="2"/>
      <c r="J53" s="2"/>
      <c r="K53" s="2"/>
      <c r="L53" s="2"/>
      <c r="M53" s="2"/>
      <c r="N53" s="2"/>
      <c r="O53" s="2"/>
      <c r="P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8"/>
      <c r="B54" s="5"/>
      <c r="C54" s="5"/>
      <c r="D54" s="10"/>
      <c r="E54" s="5"/>
      <c r="F54" s="5"/>
      <c r="G54" s="5"/>
      <c r="H54" s="2"/>
      <c r="I54" s="2"/>
      <c r="J54" s="2"/>
      <c r="K54" s="2"/>
      <c r="L54" s="2"/>
      <c r="M54" s="2"/>
      <c r="N54" s="2"/>
      <c r="O54" s="2"/>
      <c r="P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8"/>
      <c r="B55" s="5"/>
      <c r="C55" s="5"/>
      <c r="D55" s="10"/>
      <c r="E55" s="5"/>
      <c r="F55" s="5"/>
      <c r="G55" s="5"/>
      <c r="H55" s="2"/>
      <c r="I55" s="2"/>
      <c r="J55" s="2"/>
      <c r="K55" s="2"/>
      <c r="L55" s="2"/>
      <c r="M55" s="2"/>
      <c r="N55" s="2"/>
      <c r="O55" s="2"/>
      <c r="P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8"/>
      <c r="B56" s="5"/>
      <c r="C56" s="5"/>
      <c r="D56" s="10"/>
      <c r="E56" s="5"/>
      <c r="F56" s="5"/>
      <c r="G56" s="5"/>
      <c r="H56" s="2"/>
      <c r="I56" s="2"/>
      <c r="J56" s="2"/>
      <c r="K56" s="2"/>
      <c r="L56" s="2"/>
      <c r="M56" s="2"/>
      <c r="N56" s="2"/>
      <c r="O56" s="2"/>
      <c r="P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8"/>
      <c r="B57" s="5"/>
      <c r="C57" s="5"/>
      <c r="D57" s="10"/>
      <c r="E57" s="5"/>
      <c r="F57" s="5"/>
      <c r="G57" s="5"/>
      <c r="H57" s="2"/>
      <c r="I57" s="2"/>
      <c r="J57" s="2"/>
      <c r="K57" s="2"/>
      <c r="L57" s="2"/>
      <c r="M57" s="2"/>
      <c r="N57" s="2"/>
      <c r="O57" s="2"/>
      <c r="P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8"/>
      <c r="B58" s="5"/>
      <c r="C58" s="5"/>
      <c r="D58" s="10"/>
      <c r="E58" s="5"/>
      <c r="F58" s="5"/>
      <c r="G58" s="5"/>
      <c r="H58" s="2"/>
      <c r="I58" s="2"/>
      <c r="J58" s="2"/>
      <c r="K58" s="2"/>
      <c r="L58" s="2"/>
      <c r="M58" s="2"/>
      <c r="N58" s="2"/>
      <c r="O58" s="2"/>
      <c r="P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8"/>
      <c r="B59" s="5"/>
      <c r="C59" s="5"/>
      <c r="D59" s="10"/>
      <c r="E59" s="5"/>
      <c r="F59" s="5"/>
      <c r="G59" s="5"/>
      <c r="H59" s="2"/>
      <c r="I59" s="2"/>
      <c r="J59" s="2"/>
      <c r="K59" s="2"/>
      <c r="L59" s="2"/>
      <c r="M59" s="2"/>
      <c r="N59" s="2"/>
      <c r="O59" s="2"/>
      <c r="P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8"/>
      <c r="B60" s="5"/>
      <c r="C60" s="5"/>
      <c r="D60" s="10"/>
      <c r="E60" s="5"/>
      <c r="F60" s="5"/>
      <c r="G60" s="5"/>
      <c r="H60" s="2"/>
      <c r="I60" s="2"/>
      <c r="J60" s="2"/>
      <c r="K60" s="2"/>
      <c r="L60" s="2"/>
      <c r="M60" s="2"/>
      <c r="N60" s="2"/>
      <c r="O60" s="2"/>
      <c r="P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8"/>
      <c r="B61" s="5"/>
      <c r="C61" s="5"/>
      <c r="D61" s="10"/>
      <c r="E61" s="5"/>
      <c r="F61" s="5"/>
      <c r="G61" s="5"/>
      <c r="H61" s="2"/>
      <c r="I61" s="2"/>
      <c r="J61" s="2"/>
      <c r="K61" s="2"/>
      <c r="L61" s="2"/>
      <c r="M61" s="2"/>
      <c r="N61" s="2"/>
      <c r="O61" s="2"/>
      <c r="P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8"/>
      <c r="B62" s="5"/>
      <c r="C62" s="5"/>
      <c r="D62" s="10"/>
      <c r="E62" s="5"/>
      <c r="F62" s="5"/>
      <c r="G62" s="5"/>
      <c r="H62" s="2"/>
      <c r="I62" s="2"/>
      <c r="J62" s="2"/>
      <c r="K62" s="2"/>
      <c r="L62" s="2"/>
      <c r="M62" s="2"/>
      <c r="N62" s="2"/>
      <c r="O62" s="2"/>
      <c r="P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8"/>
      <c r="B63" s="5"/>
      <c r="C63" s="5"/>
      <c r="D63" s="10"/>
      <c r="E63" s="5"/>
      <c r="F63" s="5"/>
      <c r="G63" s="5"/>
      <c r="H63" s="2"/>
      <c r="I63" s="2"/>
      <c r="J63" s="2"/>
      <c r="K63" s="2"/>
      <c r="L63" s="2"/>
      <c r="M63" s="2"/>
      <c r="N63" s="2"/>
      <c r="O63" s="2"/>
      <c r="P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8"/>
      <c r="B64" s="5"/>
      <c r="C64" s="5"/>
      <c r="D64" s="10"/>
      <c r="E64" s="5"/>
      <c r="F64" s="5"/>
      <c r="G64" s="5"/>
      <c r="H64" s="2"/>
      <c r="I64" s="2"/>
      <c r="J64" s="2"/>
      <c r="K64" s="2"/>
      <c r="L64" s="2"/>
      <c r="M64" s="2"/>
      <c r="N64" s="2"/>
      <c r="O64" s="2"/>
      <c r="P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8"/>
      <c r="B65" s="5"/>
      <c r="C65" s="5"/>
      <c r="D65" s="10"/>
      <c r="E65" s="5"/>
      <c r="F65" s="5"/>
      <c r="G65" s="5"/>
      <c r="H65" s="2"/>
      <c r="I65" s="2"/>
      <c r="J65" s="2"/>
      <c r="K65" s="2"/>
      <c r="L65" s="2"/>
      <c r="M65" s="2"/>
      <c r="N65" s="2"/>
      <c r="O65" s="2"/>
      <c r="P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8"/>
      <c r="B66" s="5"/>
      <c r="C66" s="5"/>
      <c r="D66" s="10"/>
      <c r="E66" s="5"/>
      <c r="F66" s="5"/>
      <c r="G66" s="5"/>
      <c r="H66" s="2"/>
      <c r="I66" s="2"/>
      <c r="J66" s="2"/>
      <c r="K66" s="2"/>
      <c r="L66" s="2"/>
      <c r="M66" s="2"/>
      <c r="N66" s="2"/>
      <c r="O66" s="2"/>
      <c r="P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8"/>
      <c r="B67" s="5"/>
      <c r="C67" s="5"/>
      <c r="D67" s="10"/>
      <c r="E67" s="5"/>
      <c r="F67" s="5"/>
      <c r="G67" s="5"/>
      <c r="H67" s="2"/>
      <c r="I67" s="2"/>
      <c r="J67" s="2"/>
      <c r="K67" s="2"/>
      <c r="L67" s="2"/>
      <c r="M67" s="2"/>
      <c r="N67" s="2"/>
      <c r="O67" s="2"/>
      <c r="P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8"/>
      <c r="B68" s="5"/>
      <c r="C68" s="5"/>
      <c r="D68" s="10"/>
      <c r="E68" s="5"/>
      <c r="F68" s="5"/>
      <c r="G68" s="5"/>
      <c r="H68" s="2"/>
      <c r="I68" s="2"/>
      <c r="J68" s="2"/>
      <c r="K68" s="2"/>
      <c r="L68" s="2"/>
      <c r="M68" s="2"/>
      <c r="N68" s="2"/>
      <c r="O68" s="2"/>
      <c r="P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8"/>
      <c r="B69" s="5"/>
      <c r="C69" s="5"/>
      <c r="D69" s="10"/>
      <c r="E69" s="5"/>
      <c r="F69" s="5"/>
      <c r="G69" s="5"/>
      <c r="H69" s="2"/>
      <c r="I69" s="2"/>
      <c r="J69" s="2"/>
      <c r="K69" s="2"/>
      <c r="L69" s="2"/>
      <c r="M69" s="2"/>
      <c r="N69" s="2"/>
      <c r="O69" s="2"/>
      <c r="P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8"/>
      <c r="B70" s="5"/>
      <c r="C70" s="5"/>
      <c r="D70" s="10"/>
      <c r="E70" s="5"/>
      <c r="F70" s="5"/>
      <c r="G70" s="5"/>
      <c r="H70" s="2"/>
      <c r="I70" s="2"/>
      <c r="J70" s="2"/>
      <c r="K70" s="2"/>
      <c r="L70" s="2"/>
      <c r="M70" s="2"/>
      <c r="N70" s="2"/>
      <c r="O70" s="2"/>
      <c r="P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8"/>
      <c r="B71" s="5"/>
      <c r="C71" s="5"/>
      <c r="D71" s="10"/>
      <c r="E71" s="5"/>
      <c r="F71" s="5"/>
      <c r="G71" s="5"/>
      <c r="H71" s="2"/>
      <c r="I71" s="2"/>
      <c r="J71" s="2"/>
      <c r="K71" s="2"/>
      <c r="L71" s="2"/>
      <c r="M71" s="2"/>
      <c r="N71" s="2"/>
      <c r="O71" s="2"/>
      <c r="P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8"/>
      <c r="B72" s="5"/>
      <c r="C72" s="5"/>
      <c r="D72" s="10"/>
      <c r="E72" s="5"/>
      <c r="F72" s="5"/>
      <c r="G72" s="5"/>
      <c r="H72" s="2"/>
      <c r="I72" s="2"/>
      <c r="J72" s="2"/>
      <c r="K72" s="2"/>
      <c r="L72" s="2"/>
      <c r="M72" s="2"/>
      <c r="N72" s="2"/>
      <c r="O72" s="2"/>
      <c r="P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8"/>
      <c r="B73" s="5"/>
      <c r="C73" s="5"/>
      <c r="D73" s="10"/>
      <c r="E73" s="5"/>
      <c r="F73" s="5"/>
      <c r="G73" s="5"/>
      <c r="H73" s="2"/>
      <c r="I73" s="2"/>
      <c r="J73" s="2"/>
      <c r="K73" s="2"/>
      <c r="L73" s="2"/>
      <c r="M73" s="2"/>
      <c r="N73" s="2"/>
      <c r="O73" s="2"/>
      <c r="P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8"/>
      <c r="B74" s="5"/>
      <c r="C74" s="5"/>
      <c r="D74" s="10"/>
      <c r="E74" s="5"/>
      <c r="F74" s="5"/>
      <c r="G74" s="5"/>
      <c r="H74" s="2"/>
      <c r="I74" s="2"/>
      <c r="J74" s="2"/>
      <c r="K74" s="2"/>
      <c r="L74" s="2"/>
      <c r="M74" s="2"/>
      <c r="N74" s="2"/>
      <c r="O74" s="2"/>
      <c r="P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8"/>
      <c r="B75" s="5"/>
      <c r="C75" s="5"/>
      <c r="D75" s="10"/>
      <c r="E75" s="5"/>
      <c r="F75" s="5"/>
      <c r="G75" s="5"/>
      <c r="H75" s="2"/>
      <c r="I75" s="2"/>
      <c r="J75" s="2"/>
      <c r="K75" s="2"/>
      <c r="L75" s="2"/>
      <c r="M75" s="2"/>
      <c r="N75" s="2"/>
      <c r="O75" s="2"/>
      <c r="P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8"/>
      <c r="B76" s="5"/>
      <c r="C76" s="5"/>
      <c r="D76" s="10"/>
      <c r="E76" s="5"/>
      <c r="F76" s="5"/>
      <c r="G76" s="5"/>
      <c r="H76" s="2"/>
      <c r="I76" s="2"/>
      <c r="J76" s="2"/>
      <c r="K76" s="2"/>
      <c r="L76" s="2"/>
      <c r="M76" s="2"/>
      <c r="N76" s="2"/>
      <c r="O76" s="2"/>
      <c r="P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8"/>
      <c r="B77" s="5"/>
      <c r="C77" s="5"/>
      <c r="D77" s="10"/>
      <c r="E77" s="5"/>
      <c r="F77" s="5"/>
      <c r="G77" s="5"/>
      <c r="H77" s="2"/>
      <c r="I77" s="2"/>
      <c r="J77" s="2"/>
      <c r="K77" s="2"/>
      <c r="L77" s="2"/>
      <c r="M77" s="2"/>
      <c r="N77" s="2"/>
      <c r="O77" s="2"/>
      <c r="P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8"/>
      <c r="B78" s="5"/>
      <c r="C78" s="5"/>
      <c r="D78" s="10"/>
      <c r="E78" s="5"/>
      <c r="F78" s="5"/>
      <c r="G78" s="5"/>
      <c r="H78" s="2"/>
      <c r="I78" s="2"/>
      <c r="J78" s="2"/>
      <c r="K78" s="2"/>
      <c r="L78" s="2"/>
      <c r="M78" s="2"/>
      <c r="N78" s="2"/>
      <c r="O78" s="2"/>
      <c r="P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8"/>
      <c r="B79" s="5"/>
      <c r="C79" s="5"/>
      <c r="D79" s="10"/>
      <c r="E79" s="5"/>
      <c r="F79" s="5"/>
      <c r="G79" s="5"/>
      <c r="H79" s="2"/>
      <c r="I79" s="2"/>
      <c r="J79" s="2"/>
      <c r="K79" s="2"/>
      <c r="L79" s="2"/>
      <c r="M79" s="2"/>
      <c r="N79" s="2"/>
      <c r="O79" s="2"/>
      <c r="P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8"/>
      <c r="B80" s="5"/>
      <c r="C80" s="5"/>
      <c r="D80" s="10"/>
      <c r="E80" s="5"/>
      <c r="F80" s="5"/>
      <c r="G80" s="5"/>
      <c r="H80" s="2"/>
      <c r="I80" s="2"/>
      <c r="J80" s="2"/>
      <c r="K80" s="2"/>
      <c r="L80" s="2"/>
      <c r="M80" s="2"/>
      <c r="N80" s="2"/>
      <c r="O80" s="2"/>
      <c r="P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8"/>
      <c r="B81" s="5"/>
      <c r="C81" s="5"/>
      <c r="D81" s="10"/>
      <c r="E81" s="5"/>
      <c r="F81" s="5"/>
      <c r="G81" s="5"/>
      <c r="H81" s="2"/>
      <c r="I81" s="2"/>
      <c r="J81" s="2"/>
      <c r="K81" s="2"/>
      <c r="L81" s="2"/>
      <c r="M81" s="2"/>
      <c r="N81" s="2"/>
      <c r="O81" s="2"/>
      <c r="P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8"/>
      <c r="B82" s="5"/>
      <c r="C82" s="5"/>
      <c r="D82" s="10"/>
      <c r="E82" s="5"/>
      <c r="F82" s="5"/>
      <c r="G82" s="5"/>
      <c r="H82" s="2"/>
      <c r="I82" s="2"/>
      <c r="J82" s="2"/>
      <c r="K82" s="2"/>
      <c r="L82" s="2"/>
      <c r="M82" s="2"/>
      <c r="N82" s="2"/>
      <c r="O82" s="2"/>
      <c r="P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8"/>
      <c r="B83" s="5"/>
      <c r="C83" s="5"/>
      <c r="D83" s="10"/>
      <c r="E83" s="5"/>
      <c r="F83" s="5"/>
      <c r="G83" s="5"/>
      <c r="H83" s="2"/>
      <c r="I83" s="2"/>
      <c r="J83" s="2"/>
      <c r="K83" s="2"/>
      <c r="L83" s="2"/>
      <c r="M83" s="2"/>
      <c r="N83" s="2"/>
      <c r="O83" s="2"/>
      <c r="P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8"/>
      <c r="B84" s="5"/>
      <c r="C84" s="5"/>
      <c r="D84" s="10"/>
      <c r="E84" s="5"/>
      <c r="F84" s="5"/>
      <c r="G84" s="5"/>
      <c r="H84" s="2"/>
      <c r="I84" s="2"/>
      <c r="J84" s="2"/>
      <c r="K84" s="2"/>
      <c r="L84" s="2"/>
      <c r="M84" s="2"/>
      <c r="N84" s="2"/>
      <c r="O84" s="2"/>
      <c r="P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8"/>
      <c r="B85" s="5"/>
      <c r="C85" s="5"/>
      <c r="D85" s="10"/>
      <c r="E85" s="5"/>
      <c r="F85" s="5"/>
      <c r="G85" s="5"/>
      <c r="H85" s="2"/>
      <c r="I85" s="2"/>
      <c r="J85" s="2"/>
      <c r="K85" s="2"/>
      <c r="L85" s="2"/>
      <c r="M85" s="2"/>
      <c r="N85" s="2"/>
      <c r="O85" s="2"/>
      <c r="P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8"/>
      <c r="B86" s="5"/>
      <c r="C86" s="5"/>
      <c r="D86" s="10"/>
      <c r="E86" s="5"/>
      <c r="F86" s="5"/>
      <c r="G86" s="5"/>
      <c r="H86" s="2"/>
      <c r="I86" s="2"/>
      <c r="J86" s="2"/>
      <c r="K86" s="2"/>
      <c r="L86" s="2"/>
      <c r="M86" s="2"/>
      <c r="N86" s="2"/>
      <c r="O86" s="2"/>
      <c r="P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8"/>
      <c r="B87" s="5"/>
      <c r="C87" s="5"/>
      <c r="D87" s="10"/>
      <c r="E87" s="5"/>
      <c r="F87" s="5"/>
      <c r="G87" s="5"/>
      <c r="H87" s="2"/>
      <c r="I87" s="2"/>
      <c r="J87" s="2"/>
      <c r="K87" s="2"/>
      <c r="L87" s="2"/>
      <c r="M87" s="2"/>
      <c r="N87" s="2"/>
      <c r="O87" s="2"/>
      <c r="P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8"/>
      <c r="B88" s="5"/>
      <c r="C88" s="5"/>
      <c r="D88" s="10"/>
      <c r="E88" s="5"/>
      <c r="F88" s="5"/>
      <c r="G88" s="5"/>
      <c r="H88" s="2"/>
      <c r="I88" s="2"/>
      <c r="J88" s="2"/>
      <c r="K88" s="2"/>
      <c r="L88" s="2"/>
      <c r="M88" s="2"/>
      <c r="N88" s="2"/>
      <c r="O88" s="2"/>
      <c r="P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8"/>
      <c r="B89" s="5"/>
      <c r="C89" s="5"/>
      <c r="D89" s="10"/>
      <c r="E89" s="5"/>
      <c r="F89" s="5"/>
      <c r="G89" s="5"/>
      <c r="H89" s="2"/>
      <c r="I89" s="2"/>
      <c r="J89" s="2"/>
      <c r="K89" s="2"/>
      <c r="L89" s="2"/>
      <c r="M89" s="2"/>
      <c r="N89" s="2"/>
      <c r="O89" s="2"/>
      <c r="P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8"/>
      <c r="B90" s="5"/>
      <c r="C90" s="5"/>
      <c r="D90" s="10"/>
      <c r="E90" s="5"/>
      <c r="F90" s="5"/>
      <c r="G90" s="5"/>
      <c r="H90" s="2"/>
      <c r="I90" s="2"/>
      <c r="J90" s="2"/>
      <c r="K90" s="2"/>
      <c r="L90" s="2"/>
      <c r="M90" s="2"/>
      <c r="N90" s="2"/>
      <c r="O90" s="2"/>
      <c r="P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8"/>
      <c r="B91" s="5"/>
      <c r="C91" s="5"/>
      <c r="D91" s="10"/>
      <c r="E91" s="5"/>
      <c r="F91" s="5"/>
      <c r="G91" s="5"/>
      <c r="H91" s="2"/>
      <c r="I91" s="2"/>
      <c r="J91" s="2"/>
      <c r="K91" s="2"/>
      <c r="L91" s="2"/>
      <c r="M91" s="2"/>
      <c r="N91" s="2"/>
      <c r="O91" s="2"/>
      <c r="P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8"/>
      <c r="B92" s="5"/>
      <c r="C92" s="5"/>
      <c r="D92" s="10"/>
      <c r="E92" s="5"/>
      <c r="F92" s="5"/>
      <c r="G92" s="5"/>
      <c r="H92" s="2"/>
      <c r="I92" s="2"/>
      <c r="J92" s="2"/>
      <c r="K92" s="2"/>
      <c r="L92" s="2"/>
      <c r="M92" s="2"/>
      <c r="N92" s="2"/>
      <c r="O92" s="2"/>
      <c r="P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8"/>
      <c r="B93" s="5"/>
      <c r="C93" s="5"/>
      <c r="D93" s="10"/>
      <c r="E93" s="5"/>
      <c r="F93" s="5"/>
      <c r="G93" s="5"/>
      <c r="H93" s="2"/>
      <c r="I93" s="2"/>
      <c r="J93" s="2"/>
      <c r="K93" s="2"/>
      <c r="L93" s="2"/>
      <c r="M93" s="2"/>
      <c r="N93" s="2"/>
      <c r="O93" s="2"/>
      <c r="P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8"/>
      <c r="B94" s="5"/>
      <c r="C94" s="5"/>
      <c r="D94" s="10"/>
      <c r="E94" s="5"/>
      <c r="F94" s="5"/>
      <c r="G94" s="5"/>
      <c r="H94" s="2"/>
      <c r="I94" s="2"/>
      <c r="J94" s="2"/>
      <c r="K94" s="2"/>
      <c r="L94" s="2"/>
      <c r="M94" s="2"/>
      <c r="N94" s="2"/>
      <c r="O94" s="2"/>
      <c r="P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8"/>
      <c r="B95" s="5"/>
      <c r="C95" s="5"/>
      <c r="D95" s="10"/>
      <c r="E95" s="5"/>
      <c r="F95" s="5"/>
      <c r="G95" s="5"/>
      <c r="H95" s="2"/>
      <c r="I95" s="2"/>
      <c r="J95" s="2"/>
      <c r="K95" s="2"/>
      <c r="L95" s="2"/>
      <c r="M95" s="2"/>
      <c r="N95" s="2"/>
      <c r="O95" s="2"/>
      <c r="P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8"/>
      <c r="B96" s="5"/>
      <c r="C96" s="5"/>
      <c r="D96" s="10"/>
      <c r="E96" s="5"/>
      <c r="F96" s="5"/>
      <c r="G96" s="5"/>
      <c r="H96" s="2"/>
      <c r="I96" s="2"/>
      <c r="J96" s="2"/>
      <c r="K96" s="2"/>
      <c r="L96" s="2"/>
      <c r="M96" s="2"/>
      <c r="N96" s="2"/>
      <c r="O96" s="2"/>
      <c r="P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8"/>
      <c r="B97" s="5"/>
      <c r="C97" s="5"/>
      <c r="D97" s="10"/>
      <c r="E97" s="5"/>
      <c r="F97" s="5"/>
      <c r="G97" s="5"/>
      <c r="H97" s="2"/>
      <c r="I97" s="2"/>
      <c r="J97" s="2"/>
      <c r="K97" s="2"/>
      <c r="L97" s="2"/>
      <c r="M97" s="2"/>
      <c r="N97" s="2"/>
      <c r="O97" s="2"/>
      <c r="P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8"/>
      <c r="B98" s="5"/>
      <c r="C98" s="5"/>
      <c r="D98" s="10"/>
      <c r="E98" s="5"/>
      <c r="F98" s="5"/>
      <c r="G98" s="5"/>
      <c r="H98" s="2"/>
      <c r="I98" s="2"/>
      <c r="J98" s="2"/>
      <c r="K98" s="2"/>
      <c r="L98" s="2"/>
      <c r="M98" s="2"/>
      <c r="N98" s="2"/>
      <c r="O98" s="2"/>
      <c r="P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8"/>
      <c r="B99" s="5"/>
      <c r="C99" s="5"/>
      <c r="D99" s="10"/>
      <c r="E99" s="5"/>
      <c r="F99" s="5"/>
      <c r="G99" s="5"/>
      <c r="H99" s="2"/>
      <c r="I99" s="2"/>
      <c r="J99" s="2"/>
      <c r="K99" s="2"/>
      <c r="L99" s="2"/>
      <c r="M99" s="2"/>
      <c r="N99" s="2"/>
      <c r="O99" s="2"/>
      <c r="P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8"/>
      <c r="B100" s="5"/>
      <c r="C100" s="5"/>
      <c r="D100" s="10"/>
      <c r="E100" s="5"/>
      <c r="F100" s="5"/>
      <c r="G100" s="5"/>
      <c r="H100" s="2"/>
      <c r="I100" s="2"/>
      <c r="J100" s="2"/>
      <c r="K100" s="2"/>
      <c r="L100" s="2"/>
      <c r="M100" s="2"/>
      <c r="N100" s="2"/>
      <c r="O100" s="2"/>
      <c r="P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8"/>
      <c r="B101" s="5"/>
      <c r="C101" s="5"/>
      <c r="D101" s="10"/>
      <c r="E101" s="5"/>
      <c r="F101" s="5"/>
      <c r="G101" s="5"/>
      <c r="H101" s="2"/>
      <c r="I101" s="2"/>
      <c r="J101" s="2"/>
      <c r="K101" s="2"/>
      <c r="L101" s="2"/>
      <c r="M101" s="2"/>
      <c r="N101" s="2"/>
      <c r="O101" s="2"/>
      <c r="P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8"/>
      <c r="B102" s="5"/>
      <c r="C102" s="5"/>
      <c r="D102" s="10"/>
      <c r="E102" s="5"/>
      <c r="F102" s="5"/>
      <c r="G102" s="5"/>
      <c r="H102" s="2"/>
      <c r="I102" s="2"/>
      <c r="J102" s="2"/>
      <c r="K102" s="2"/>
      <c r="L102" s="2"/>
      <c r="M102" s="2"/>
      <c r="N102" s="2"/>
      <c r="O102" s="2"/>
      <c r="P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8"/>
      <c r="B103" s="5"/>
      <c r="C103" s="5"/>
      <c r="D103" s="10"/>
      <c r="E103" s="5"/>
      <c r="F103" s="5"/>
      <c r="G103" s="5"/>
      <c r="H103" s="2"/>
      <c r="I103" s="2"/>
      <c r="J103" s="2"/>
      <c r="K103" s="2"/>
      <c r="L103" s="2"/>
      <c r="M103" s="2"/>
      <c r="N103" s="2"/>
      <c r="O103" s="2"/>
      <c r="P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8"/>
      <c r="B104" s="5"/>
      <c r="C104" s="5"/>
      <c r="D104" s="10"/>
      <c r="E104" s="5"/>
      <c r="F104" s="5"/>
      <c r="G104" s="5"/>
      <c r="H104" s="2"/>
      <c r="I104" s="2"/>
      <c r="J104" s="2"/>
      <c r="K104" s="2"/>
      <c r="L104" s="2"/>
      <c r="M104" s="2"/>
      <c r="N104" s="2"/>
      <c r="O104" s="2"/>
      <c r="P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8"/>
      <c r="B105" s="5"/>
      <c r="C105" s="5"/>
      <c r="D105" s="10"/>
      <c r="E105" s="5"/>
      <c r="F105" s="5"/>
      <c r="G105" s="5"/>
      <c r="H105" s="2"/>
      <c r="I105" s="2"/>
      <c r="J105" s="2"/>
      <c r="K105" s="2"/>
      <c r="L105" s="2"/>
      <c r="M105" s="2"/>
      <c r="N105" s="2"/>
      <c r="O105" s="2"/>
      <c r="P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8"/>
      <c r="B106" s="5"/>
      <c r="C106" s="5"/>
      <c r="D106" s="10"/>
      <c r="E106" s="5"/>
      <c r="F106" s="5"/>
      <c r="G106" s="5"/>
      <c r="H106" s="2"/>
      <c r="I106" s="2"/>
      <c r="J106" s="2"/>
      <c r="K106" s="2"/>
      <c r="L106" s="2"/>
      <c r="M106" s="2"/>
      <c r="N106" s="2"/>
      <c r="O106" s="2"/>
      <c r="P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8"/>
      <c r="B107" s="5"/>
      <c r="C107" s="5"/>
      <c r="D107" s="10"/>
      <c r="E107" s="5"/>
      <c r="F107" s="5"/>
      <c r="G107" s="5"/>
      <c r="H107" s="2"/>
      <c r="I107" s="2"/>
      <c r="J107" s="2"/>
      <c r="K107" s="2"/>
      <c r="L107" s="2"/>
      <c r="M107" s="2"/>
      <c r="N107" s="2"/>
      <c r="O107" s="2"/>
      <c r="P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8"/>
      <c r="B108" s="5"/>
      <c r="C108" s="5"/>
      <c r="D108" s="10"/>
      <c r="E108" s="5"/>
      <c r="F108" s="5"/>
      <c r="G108" s="5"/>
      <c r="H108" s="2"/>
      <c r="I108" s="2"/>
      <c r="J108" s="2"/>
      <c r="K108" s="2"/>
      <c r="L108" s="2"/>
      <c r="M108" s="2"/>
      <c r="N108" s="2"/>
      <c r="O108" s="2"/>
      <c r="P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8"/>
      <c r="B109" s="5"/>
      <c r="C109" s="5"/>
      <c r="D109" s="10"/>
      <c r="E109" s="5"/>
      <c r="F109" s="5"/>
      <c r="G109" s="5"/>
      <c r="H109" s="2"/>
      <c r="I109" s="2"/>
      <c r="J109" s="2"/>
      <c r="K109" s="2"/>
      <c r="L109" s="2"/>
      <c r="M109" s="2"/>
      <c r="N109" s="2"/>
      <c r="O109" s="2"/>
      <c r="P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8"/>
      <c r="B110" s="5"/>
      <c r="C110" s="5"/>
      <c r="D110" s="10"/>
      <c r="E110" s="5"/>
      <c r="F110" s="5"/>
      <c r="G110" s="5"/>
      <c r="H110" s="2"/>
      <c r="I110" s="2"/>
      <c r="J110" s="2"/>
      <c r="K110" s="2"/>
      <c r="L110" s="2"/>
      <c r="M110" s="2"/>
      <c r="N110" s="2"/>
      <c r="O110" s="2"/>
      <c r="P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8"/>
      <c r="B111" s="5"/>
      <c r="C111" s="5"/>
      <c r="D111" s="10"/>
      <c r="E111" s="5"/>
      <c r="F111" s="5"/>
      <c r="G111" s="5"/>
      <c r="H111" s="2"/>
      <c r="I111" s="2"/>
      <c r="J111" s="2"/>
      <c r="K111" s="2"/>
      <c r="L111" s="2"/>
      <c r="M111" s="2"/>
      <c r="N111" s="2"/>
      <c r="O111" s="2"/>
      <c r="P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8"/>
      <c r="B112" s="5"/>
      <c r="C112" s="5"/>
      <c r="D112" s="10"/>
      <c r="E112" s="5"/>
      <c r="F112" s="5"/>
      <c r="G112" s="5"/>
      <c r="H112" s="2"/>
      <c r="I112" s="2"/>
      <c r="J112" s="2"/>
      <c r="K112" s="2"/>
      <c r="L112" s="2"/>
      <c r="M112" s="2"/>
      <c r="N112" s="2"/>
      <c r="O112" s="2"/>
      <c r="P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8"/>
      <c r="B113" s="5"/>
      <c r="C113" s="5"/>
      <c r="D113" s="10"/>
      <c r="E113" s="5"/>
      <c r="F113" s="5"/>
      <c r="G113" s="5"/>
      <c r="H113" s="2"/>
      <c r="I113" s="2"/>
      <c r="J113" s="2"/>
      <c r="K113" s="2"/>
      <c r="L113" s="2"/>
      <c r="M113" s="2"/>
      <c r="N113" s="2"/>
      <c r="O113" s="2"/>
      <c r="P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8"/>
      <c r="B114" s="5"/>
      <c r="C114" s="5"/>
      <c r="D114" s="10"/>
      <c r="E114" s="5"/>
      <c r="F114" s="5"/>
      <c r="G114" s="5"/>
      <c r="H114" s="2"/>
      <c r="I114" s="2"/>
      <c r="J114" s="2"/>
      <c r="K114" s="2"/>
      <c r="L114" s="2"/>
      <c r="M114" s="2"/>
      <c r="N114" s="2"/>
      <c r="O114" s="2"/>
      <c r="P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8"/>
      <c r="B115" s="5"/>
      <c r="C115" s="5"/>
      <c r="D115" s="10"/>
      <c r="E115" s="5"/>
      <c r="F115" s="5"/>
      <c r="G115" s="5"/>
      <c r="H115" s="2"/>
      <c r="I115" s="2"/>
      <c r="J115" s="2"/>
      <c r="K115" s="2"/>
      <c r="L115" s="2"/>
      <c r="M115" s="2"/>
      <c r="N115" s="2"/>
      <c r="O115" s="2"/>
      <c r="P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8"/>
      <c r="B116" s="5"/>
      <c r="C116" s="5"/>
      <c r="D116" s="10"/>
      <c r="E116" s="5"/>
      <c r="F116" s="5"/>
      <c r="G116" s="5"/>
      <c r="H116" s="2"/>
      <c r="I116" s="2"/>
      <c r="J116" s="2"/>
      <c r="K116" s="2"/>
      <c r="L116" s="2"/>
      <c r="M116" s="2"/>
      <c r="N116" s="2"/>
      <c r="O116" s="2"/>
      <c r="P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8"/>
      <c r="B117" s="5"/>
      <c r="C117" s="5"/>
      <c r="D117" s="10"/>
      <c r="E117" s="5"/>
      <c r="F117" s="5"/>
      <c r="G117" s="5"/>
      <c r="H117" s="2"/>
      <c r="I117" s="2"/>
      <c r="J117" s="2"/>
      <c r="K117" s="2"/>
      <c r="L117" s="2"/>
      <c r="M117" s="2"/>
      <c r="N117" s="2"/>
      <c r="O117" s="2"/>
      <c r="P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8"/>
      <c r="B118" s="5"/>
      <c r="C118" s="5"/>
      <c r="D118" s="10"/>
      <c r="E118" s="5"/>
      <c r="F118" s="5"/>
      <c r="G118" s="5"/>
      <c r="H118" s="2"/>
      <c r="I118" s="2"/>
      <c r="J118" s="2"/>
      <c r="K118" s="2"/>
      <c r="L118" s="2"/>
      <c r="M118" s="2"/>
      <c r="N118" s="2"/>
      <c r="O118" s="2"/>
      <c r="P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8"/>
      <c r="B119" s="5"/>
      <c r="C119" s="5"/>
      <c r="D119" s="10"/>
      <c r="E119" s="5"/>
      <c r="F119" s="5"/>
      <c r="G119" s="5"/>
      <c r="H119" s="2"/>
      <c r="I119" s="2"/>
      <c r="J119" s="2"/>
      <c r="K119" s="2"/>
      <c r="L119" s="2"/>
      <c r="M119" s="2"/>
      <c r="N119" s="2"/>
      <c r="O119" s="2"/>
      <c r="P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8"/>
      <c r="B120" s="5"/>
      <c r="C120" s="5"/>
      <c r="D120" s="10"/>
      <c r="E120" s="5"/>
      <c r="F120" s="5"/>
      <c r="G120" s="5"/>
      <c r="H120" s="2"/>
      <c r="I120" s="2"/>
      <c r="J120" s="2"/>
      <c r="K120" s="2"/>
      <c r="L120" s="2"/>
      <c r="M120" s="2"/>
      <c r="N120" s="2"/>
      <c r="O120" s="2"/>
      <c r="P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8"/>
      <c r="B121" s="5"/>
      <c r="C121" s="5"/>
      <c r="D121" s="10"/>
      <c r="E121" s="5"/>
      <c r="F121" s="5"/>
      <c r="G121" s="5"/>
      <c r="H121" s="2"/>
      <c r="I121" s="2"/>
      <c r="J121" s="2"/>
      <c r="K121" s="2"/>
      <c r="L121" s="2"/>
      <c r="M121" s="2"/>
      <c r="N121" s="2"/>
      <c r="O121" s="2"/>
      <c r="P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8"/>
      <c r="B122" s="5"/>
      <c r="C122" s="5"/>
      <c r="D122" s="10"/>
      <c r="E122" s="5"/>
      <c r="F122" s="5"/>
      <c r="G122" s="5"/>
      <c r="H122" s="2"/>
      <c r="I122" s="2"/>
      <c r="J122" s="2"/>
      <c r="K122" s="2"/>
      <c r="L122" s="2"/>
      <c r="M122" s="2"/>
      <c r="N122" s="2"/>
      <c r="O122" s="2"/>
      <c r="P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8"/>
      <c r="B123" s="5"/>
      <c r="C123" s="5"/>
      <c r="D123" s="10"/>
      <c r="E123" s="5"/>
      <c r="F123" s="5"/>
      <c r="G123" s="5"/>
      <c r="H123" s="2"/>
      <c r="I123" s="2"/>
      <c r="J123" s="2"/>
      <c r="K123" s="2"/>
      <c r="L123" s="2"/>
      <c r="M123" s="2"/>
      <c r="N123" s="2"/>
      <c r="O123" s="2"/>
      <c r="P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8"/>
      <c r="B124" s="5"/>
      <c r="C124" s="5"/>
      <c r="D124" s="10"/>
      <c r="E124" s="5"/>
      <c r="F124" s="5"/>
      <c r="G124" s="5"/>
      <c r="H124" s="2"/>
      <c r="I124" s="2"/>
      <c r="J124" s="2"/>
      <c r="K124" s="2"/>
      <c r="L124" s="2"/>
      <c r="M124" s="2"/>
      <c r="N124" s="2"/>
      <c r="O124" s="2"/>
      <c r="P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8"/>
      <c r="B125" s="5"/>
      <c r="C125" s="5"/>
      <c r="D125" s="10"/>
      <c r="E125" s="5"/>
      <c r="F125" s="5"/>
      <c r="G125" s="5"/>
      <c r="H125" s="2"/>
      <c r="I125" s="2"/>
      <c r="J125" s="2"/>
      <c r="K125" s="2"/>
      <c r="L125" s="2"/>
      <c r="M125" s="2"/>
      <c r="N125" s="2"/>
      <c r="O125" s="2"/>
      <c r="P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8"/>
      <c r="B126" s="5"/>
      <c r="C126" s="5"/>
      <c r="D126" s="10"/>
      <c r="E126" s="5"/>
      <c r="F126" s="5"/>
      <c r="G126" s="5"/>
      <c r="H126" s="2"/>
      <c r="I126" s="2"/>
      <c r="J126" s="2"/>
      <c r="K126" s="2"/>
      <c r="L126" s="2"/>
      <c r="M126" s="2"/>
      <c r="N126" s="2"/>
      <c r="O126" s="2"/>
      <c r="P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8"/>
      <c r="B127" s="5"/>
      <c r="C127" s="5"/>
      <c r="D127" s="10"/>
      <c r="E127" s="5"/>
      <c r="F127" s="5"/>
      <c r="G127" s="5"/>
      <c r="H127" s="2"/>
      <c r="I127" s="2"/>
      <c r="J127" s="2"/>
      <c r="K127" s="2"/>
      <c r="L127" s="2"/>
      <c r="M127" s="2"/>
      <c r="N127" s="2"/>
      <c r="O127" s="2"/>
      <c r="P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8"/>
      <c r="B128" s="5"/>
      <c r="C128" s="5"/>
      <c r="D128" s="10"/>
      <c r="E128" s="5"/>
      <c r="F128" s="5"/>
      <c r="G128" s="5"/>
      <c r="H128" s="2"/>
      <c r="I128" s="2"/>
      <c r="J128" s="2"/>
      <c r="K128" s="2"/>
      <c r="L128" s="2"/>
      <c r="M128" s="2"/>
      <c r="N128" s="2"/>
      <c r="O128" s="2"/>
      <c r="P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8"/>
      <c r="B129" s="5"/>
      <c r="C129" s="5"/>
      <c r="D129" s="10"/>
      <c r="E129" s="5"/>
      <c r="F129" s="5"/>
      <c r="G129" s="5"/>
      <c r="H129" s="2"/>
      <c r="I129" s="2"/>
      <c r="J129" s="2"/>
      <c r="K129" s="2"/>
      <c r="L129" s="2"/>
      <c r="M129" s="2"/>
      <c r="N129" s="2"/>
      <c r="O129" s="2"/>
      <c r="P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8"/>
      <c r="B130" s="5"/>
      <c r="C130" s="5"/>
      <c r="D130" s="10"/>
      <c r="E130" s="5"/>
      <c r="F130" s="5"/>
      <c r="G130" s="5"/>
      <c r="H130" s="2"/>
      <c r="I130" s="2"/>
      <c r="J130" s="2"/>
      <c r="K130" s="2"/>
      <c r="L130" s="2"/>
      <c r="M130" s="2"/>
      <c r="N130" s="2"/>
      <c r="O130" s="2"/>
      <c r="P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8"/>
      <c r="B131" s="5"/>
      <c r="C131" s="5"/>
      <c r="D131" s="10"/>
      <c r="E131" s="5"/>
      <c r="F131" s="5"/>
      <c r="G131" s="5"/>
      <c r="H131" s="2"/>
      <c r="I131" s="2"/>
      <c r="J131" s="2"/>
      <c r="K131" s="2"/>
      <c r="L131" s="2"/>
      <c r="M131" s="2"/>
      <c r="N131" s="2"/>
      <c r="O131" s="2"/>
      <c r="P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8"/>
      <c r="B132" s="5"/>
      <c r="C132" s="5"/>
      <c r="D132" s="10"/>
      <c r="E132" s="5"/>
      <c r="F132" s="5"/>
      <c r="G132" s="5"/>
      <c r="H132" s="2"/>
      <c r="I132" s="2"/>
      <c r="J132" s="2"/>
      <c r="K132" s="2"/>
      <c r="L132" s="2"/>
      <c r="M132" s="2"/>
      <c r="N132" s="2"/>
      <c r="O132" s="2"/>
      <c r="P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8"/>
      <c r="B133" s="5"/>
      <c r="C133" s="5"/>
      <c r="D133" s="10"/>
      <c r="E133" s="5"/>
      <c r="F133" s="5"/>
      <c r="G133" s="5"/>
      <c r="H133" s="2"/>
      <c r="I133" s="2"/>
      <c r="J133" s="2"/>
      <c r="K133" s="2"/>
      <c r="L133" s="2"/>
      <c r="M133" s="2"/>
      <c r="N133" s="2"/>
      <c r="O133" s="2"/>
      <c r="P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8"/>
      <c r="B134" s="5"/>
      <c r="C134" s="5"/>
      <c r="D134" s="10"/>
      <c r="E134" s="5"/>
      <c r="F134" s="5"/>
      <c r="G134" s="5"/>
      <c r="H134" s="2"/>
      <c r="I134" s="2"/>
      <c r="J134" s="2"/>
      <c r="K134" s="2"/>
      <c r="L134" s="2"/>
      <c r="M134" s="2"/>
      <c r="N134" s="2"/>
      <c r="O134" s="2"/>
      <c r="P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8"/>
      <c r="B135" s="5"/>
      <c r="C135" s="5"/>
      <c r="D135" s="10"/>
      <c r="E135" s="5"/>
      <c r="F135" s="5"/>
      <c r="G135" s="5"/>
      <c r="H135" s="2"/>
      <c r="I135" s="2"/>
      <c r="J135" s="2"/>
      <c r="K135" s="2"/>
      <c r="L135" s="2"/>
      <c r="M135" s="2"/>
      <c r="N135" s="2"/>
      <c r="O135" s="2"/>
      <c r="P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8"/>
      <c r="B136" s="5"/>
      <c r="C136" s="5"/>
      <c r="D136" s="10"/>
      <c r="E136" s="5"/>
      <c r="F136" s="5"/>
      <c r="G136" s="5"/>
      <c r="H136" s="2"/>
      <c r="I136" s="2"/>
      <c r="J136" s="2"/>
      <c r="K136" s="2"/>
      <c r="L136" s="2"/>
      <c r="M136" s="2"/>
      <c r="N136" s="2"/>
      <c r="O136" s="2"/>
      <c r="P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8"/>
      <c r="B137" s="5"/>
      <c r="C137" s="5"/>
      <c r="D137" s="10"/>
      <c r="E137" s="5"/>
      <c r="F137" s="5"/>
      <c r="G137" s="5"/>
      <c r="H137" s="2"/>
      <c r="I137" s="2"/>
      <c r="J137" s="2"/>
      <c r="K137" s="2"/>
      <c r="L137" s="2"/>
      <c r="M137" s="2"/>
      <c r="N137" s="2"/>
      <c r="O137" s="2"/>
      <c r="P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8"/>
      <c r="B138" s="5"/>
      <c r="C138" s="5"/>
      <c r="D138" s="10"/>
      <c r="E138" s="5"/>
      <c r="F138" s="5"/>
      <c r="G138" s="5"/>
      <c r="H138" s="2"/>
      <c r="I138" s="2"/>
      <c r="J138" s="2"/>
      <c r="K138" s="2"/>
      <c r="L138" s="2"/>
      <c r="M138" s="2"/>
      <c r="N138" s="2"/>
      <c r="O138" s="2"/>
      <c r="P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8"/>
      <c r="B139" s="5"/>
      <c r="C139" s="5"/>
      <c r="D139" s="10"/>
      <c r="E139" s="5"/>
      <c r="F139" s="5"/>
      <c r="G139" s="5"/>
      <c r="H139" s="2"/>
      <c r="I139" s="2"/>
      <c r="J139" s="2"/>
      <c r="K139" s="2"/>
      <c r="L139" s="2"/>
      <c r="M139" s="2"/>
      <c r="N139" s="2"/>
      <c r="O139" s="2"/>
      <c r="P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8"/>
      <c r="B140" s="5"/>
      <c r="C140" s="5"/>
      <c r="D140" s="10"/>
      <c r="E140" s="5"/>
      <c r="F140" s="5"/>
      <c r="G140" s="5"/>
      <c r="H140" s="2"/>
      <c r="I140" s="2"/>
      <c r="J140" s="2"/>
      <c r="K140" s="2"/>
      <c r="L140" s="2"/>
      <c r="M140" s="2"/>
      <c r="N140" s="2"/>
      <c r="O140" s="2"/>
      <c r="P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8"/>
      <c r="B141" s="5"/>
      <c r="C141" s="5"/>
      <c r="D141" s="10"/>
      <c r="E141" s="5"/>
      <c r="F141" s="5"/>
      <c r="G141" s="5"/>
      <c r="H141" s="2"/>
      <c r="I141" s="2"/>
      <c r="J141" s="2"/>
      <c r="K141" s="2"/>
      <c r="L141" s="2"/>
      <c r="M141" s="2"/>
      <c r="N141" s="2"/>
      <c r="O141" s="2"/>
      <c r="P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8"/>
      <c r="B142" s="5"/>
      <c r="C142" s="5"/>
      <c r="D142" s="10"/>
      <c r="E142" s="5"/>
      <c r="F142" s="5"/>
      <c r="G142" s="5"/>
      <c r="H142" s="2"/>
      <c r="I142" s="2"/>
      <c r="J142" s="2"/>
      <c r="K142" s="2"/>
      <c r="L142" s="2"/>
      <c r="M142" s="2"/>
      <c r="N142" s="2"/>
      <c r="O142" s="2"/>
      <c r="P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8"/>
      <c r="B143" s="5"/>
      <c r="C143" s="5"/>
      <c r="D143" s="10"/>
      <c r="E143" s="5"/>
      <c r="F143" s="5"/>
      <c r="G143" s="5"/>
      <c r="H143" s="2"/>
      <c r="I143" s="2"/>
      <c r="J143" s="2"/>
      <c r="K143" s="2"/>
      <c r="L143" s="2"/>
      <c r="M143" s="2"/>
      <c r="N143" s="2"/>
      <c r="O143" s="2"/>
      <c r="P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8"/>
      <c r="B144" s="5"/>
      <c r="C144" s="5"/>
      <c r="D144" s="10"/>
      <c r="E144" s="5"/>
      <c r="F144" s="5"/>
      <c r="G144" s="5"/>
      <c r="H144" s="2"/>
      <c r="I144" s="2"/>
      <c r="J144" s="2"/>
      <c r="K144" s="2"/>
      <c r="L144" s="2"/>
      <c r="M144" s="2"/>
      <c r="N144" s="2"/>
      <c r="O144" s="2"/>
      <c r="P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8"/>
      <c r="B145" s="5"/>
      <c r="C145" s="5"/>
      <c r="D145" s="10"/>
      <c r="E145" s="5"/>
      <c r="F145" s="5"/>
      <c r="G145" s="5"/>
      <c r="H145" s="2"/>
      <c r="I145" s="2"/>
      <c r="J145" s="2"/>
      <c r="K145" s="2"/>
      <c r="L145" s="2"/>
      <c r="M145" s="2"/>
      <c r="N145" s="2"/>
      <c r="O145" s="2"/>
      <c r="P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8"/>
      <c r="B146" s="5"/>
      <c r="C146" s="5"/>
      <c r="D146" s="10"/>
      <c r="E146" s="5"/>
      <c r="F146" s="5"/>
      <c r="G146" s="5"/>
      <c r="H146" s="2"/>
      <c r="I146" s="2"/>
      <c r="J146" s="2"/>
      <c r="K146" s="2"/>
      <c r="L146" s="2"/>
      <c r="M146" s="2"/>
      <c r="N146" s="2"/>
      <c r="O146" s="2"/>
      <c r="P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8"/>
      <c r="B147" s="5"/>
      <c r="C147" s="5"/>
      <c r="D147" s="10"/>
      <c r="E147" s="5"/>
      <c r="F147" s="5"/>
      <c r="G147" s="5"/>
      <c r="H147" s="2"/>
      <c r="I147" s="2"/>
      <c r="J147" s="2"/>
      <c r="K147" s="2"/>
      <c r="L147" s="2"/>
      <c r="M147" s="2"/>
      <c r="N147" s="2"/>
      <c r="O147" s="2"/>
      <c r="P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8"/>
      <c r="B148" s="5"/>
      <c r="C148" s="5"/>
      <c r="D148" s="10"/>
      <c r="E148" s="5"/>
      <c r="F148" s="5"/>
      <c r="G148" s="5"/>
      <c r="H148" s="2"/>
      <c r="I148" s="2"/>
      <c r="J148" s="2"/>
      <c r="K148" s="2"/>
      <c r="L148" s="2"/>
      <c r="M148" s="2"/>
      <c r="N148" s="2"/>
      <c r="O148" s="2"/>
      <c r="P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8"/>
      <c r="B149" s="5"/>
      <c r="C149" s="5"/>
      <c r="D149" s="10"/>
      <c r="E149" s="5"/>
      <c r="F149" s="5"/>
      <c r="G149" s="5"/>
      <c r="H149" s="2"/>
      <c r="I149" s="2"/>
      <c r="J149" s="2"/>
      <c r="K149" s="2"/>
      <c r="L149" s="2"/>
      <c r="M149" s="2"/>
      <c r="N149" s="2"/>
      <c r="O149" s="2"/>
      <c r="P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8"/>
      <c r="B150" s="5"/>
      <c r="C150" s="5"/>
      <c r="D150" s="10"/>
      <c r="E150" s="5"/>
      <c r="F150" s="5"/>
      <c r="G150" s="5"/>
      <c r="H150" s="2"/>
      <c r="I150" s="2"/>
      <c r="J150" s="2"/>
      <c r="K150" s="2"/>
      <c r="L150" s="2"/>
      <c r="M150" s="2"/>
      <c r="N150" s="2"/>
      <c r="O150" s="2"/>
      <c r="P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8"/>
      <c r="B151" s="5"/>
      <c r="C151" s="5"/>
      <c r="D151" s="10"/>
      <c r="E151" s="5"/>
      <c r="F151" s="5"/>
      <c r="G151" s="5"/>
      <c r="H151" s="2"/>
      <c r="I151" s="2"/>
      <c r="J151" s="2"/>
      <c r="K151" s="2"/>
      <c r="L151" s="2"/>
      <c r="M151" s="2"/>
      <c r="N151" s="2"/>
      <c r="O151" s="2"/>
      <c r="P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8"/>
      <c r="B152" s="5"/>
      <c r="C152" s="5"/>
      <c r="D152" s="10"/>
      <c r="E152" s="5"/>
      <c r="F152" s="5"/>
      <c r="G152" s="5"/>
      <c r="H152" s="2"/>
      <c r="I152" s="2"/>
      <c r="J152" s="2"/>
      <c r="K152" s="2"/>
      <c r="L152" s="2"/>
      <c r="M152" s="2"/>
      <c r="N152" s="2"/>
      <c r="O152" s="2"/>
      <c r="P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8"/>
      <c r="B153" s="5"/>
      <c r="C153" s="5"/>
      <c r="D153" s="10"/>
      <c r="E153" s="5"/>
      <c r="F153" s="5"/>
      <c r="G153" s="5"/>
      <c r="H153" s="2"/>
      <c r="I153" s="2"/>
      <c r="J153" s="2"/>
      <c r="K153" s="2"/>
      <c r="L153" s="2"/>
      <c r="M153" s="2"/>
      <c r="N153" s="2"/>
      <c r="O153" s="2"/>
      <c r="P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8"/>
      <c r="B154" s="5"/>
      <c r="C154" s="5"/>
      <c r="D154" s="10"/>
      <c r="E154" s="5"/>
      <c r="F154" s="5"/>
      <c r="G154" s="5"/>
      <c r="H154" s="2"/>
      <c r="I154" s="2"/>
      <c r="J154" s="2"/>
      <c r="K154" s="2"/>
      <c r="L154" s="2"/>
      <c r="M154" s="2"/>
      <c r="N154" s="2"/>
      <c r="O154" s="2"/>
      <c r="P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8"/>
      <c r="B155" s="5"/>
      <c r="C155" s="5"/>
      <c r="D155" s="10"/>
      <c r="E155" s="5"/>
      <c r="F155" s="5"/>
      <c r="G155" s="5"/>
      <c r="H155" s="2"/>
      <c r="I155" s="2"/>
      <c r="J155" s="2"/>
      <c r="K155" s="2"/>
      <c r="L155" s="2"/>
      <c r="M155" s="2"/>
      <c r="N155" s="2"/>
      <c r="O155" s="2"/>
      <c r="P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8"/>
      <c r="B156" s="5"/>
      <c r="C156" s="5"/>
      <c r="D156" s="10"/>
      <c r="E156" s="5"/>
      <c r="F156" s="5"/>
      <c r="G156" s="5"/>
      <c r="H156" s="2"/>
      <c r="I156" s="2"/>
      <c r="J156" s="2"/>
      <c r="K156" s="2"/>
      <c r="L156" s="2"/>
      <c r="M156" s="2"/>
      <c r="N156" s="2"/>
      <c r="O156" s="2"/>
      <c r="P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8"/>
      <c r="B157" s="5"/>
      <c r="C157" s="5"/>
      <c r="D157" s="10"/>
      <c r="E157" s="5"/>
      <c r="F157" s="5"/>
      <c r="G157" s="5"/>
      <c r="H157" s="2"/>
      <c r="I157" s="2"/>
      <c r="J157" s="2"/>
      <c r="K157" s="2"/>
      <c r="L157" s="2"/>
      <c r="M157" s="2"/>
      <c r="N157" s="2"/>
      <c r="O157" s="2"/>
      <c r="P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8"/>
      <c r="B158" s="5"/>
      <c r="C158" s="5"/>
      <c r="D158" s="10"/>
      <c r="E158" s="5"/>
      <c r="F158" s="5"/>
      <c r="G158" s="5"/>
      <c r="H158" s="2"/>
      <c r="I158" s="2"/>
      <c r="J158" s="2"/>
      <c r="K158" s="2"/>
      <c r="L158" s="2"/>
      <c r="M158" s="2"/>
      <c r="N158" s="2"/>
      <c r="O158" s="2"/>
      <c r="P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8"/>
      <c r="B159" s="5"/>
      <c r="C159" s="5"/>
      <c r="D159" s="10"/>
      <c r="E159" s="5"/>
      <c r="F159" s="5"/>
      <c r="G159" s="5"/>
      <c r="H159" s="2"/>
      <c r="I159" s="2"/>
      <c r="J159" s="2"/>
      <c r="K159" s="2"/>
      <c r="L159" s="2"/>
      <c r="M159" s="2"/>
      <c r="N159" s="2"/>
      <c r="O159" s="2"/>
      <c r="P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8"/>
      <c r="B160" s="5"/>
      <c r="C160" s="5"/>
      <c r="D160" s="10"/>
      <c r="E160" s="5"/>
      <c r="F160" s="5"/>
      <c r="G160" s="5"/>
      <c r="H160" s="2"/>
      <c r="I160" s="2"/>
      <c r="J160" s="2"/>
      <c r="K160" s="2"/>
      <c r="L160" s="2"/>
      <c r="M160" s="2"/>
      <c r="N160" s="2"/>
      <c r="O160" s="2"/>
      <c r="P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8"/>
      <c r="B161" s="5"/>
      <c r="C161" s="5"/>
      <c r="D161" s="10"/>
      <c r="E161" s="5"/>
      <c r="F161" s="5"/>
      <c r="G161" s="5"/>
      <c r="H161" s="2"/>
      <c r="I161" s="2"/>
      <c r="J161" s="2"/>
      <c r="K161" s="2"/>
      <c r="L161" s="2"/>
      <c r="M161" s="2"/>
      <c r="N161" s="2"/>
      <c r="O161" s="2"/>
      <c r="P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8"/>
      <c r="B162" s="5"/>
      <c r="C162" s="5"/>
      <c r="D162" s="10"/>
      <c r="E162" s="5"/>
      <c r="F162" s="5"/>
      <c r="G162" s="5"/>
      <c r="H162" s="2"/>
      <c r="I162" s="2"/>
      <c r="J162" s="2"/>
      <c r="K162" s="2"/>
      <c r="L162" s="2"/>
      <c r="M162" s="2"/>
      <c r="N162" s="2"/>
      <c r="O162" s="2"/>
      <c r="P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8"/>
      <c r="B163" s="5"/>
      <c r="C163" s="5"/>
      <c r="D163" s="10"/>
      <c r="E163" s="5"/>
      <c r="F163" s="5"/>
      <c r="G163" s="5"/>
      <c r="H163" s="2"/>
      <c r="I163" s="2"/>
      <c r="J163" s="2"/>
      <c r="K163" s="2"/>
      <c r="L163" s="2"/>
      <c r="M163" s="2"/>
      <c r="N163" s="2"/>
      <c r="O163" s="2"/>
      <c r="P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8"/>
      <c r="B164" s="5"/>
      <c r="C164" s="5"/>
      <c r="D164" s="10"/>
      <c r="E164" s="5"/>
      <c r="F164" s="5"/>
      <c r="G164" s="5"/>
      <c r="H164" s="2"/>
      <c r="I164" s="2"/>
      <c r="J164" s="2"/>
      <c r="K164" s="2"/>
      <c r="L164" s="2"/>
      <c r="M164" s="2"/>
      <c r="N164" s="2"/>
      <c r="O164" s="2"/>
      <c r="P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8"/>
      <c r="B165" s="5"/>
      <c r="C165" s="5"/>
      <c r="D165" s="10"/>
      <c r="E165" s="5"/>
      <c r="F165" s="5"/>
      <c r="G165" s="5"/>
      <c r="H165" s="2"/>
      <c r="I165" s="2"/>
      <c r="J165" s="2"/>
      <c r="K165" s="2"/>
      <c r="L165" s="2"/>
      <c r="M165" s="2"/>
      <c r="N165" s="2"/>
      <c r="O165" s="2"/>
      <c r="P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8"/>
      <c r="B166" s="5"/>
      <c r="C166" s="5"/>
      <c r="D166" s="10"/>
      <c r="E166" s="5"/>
      <c r="F166" s="5"/>
      <c r="G166" s="5"/>
      <c r="H166" s="2"/>
      <c r="I166" s="2"/>
      <c r="J166" s="2"/>
      <c r="K166" s="2"/>
      <c r="L166" s="2"/>
      <c r="M166" s="2"/>
      <c r="N166" s="2"/>
      <c r="O166" s="2"/>
      <c r="P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8"/>
      <c r="B167" s="5"/>
      <c r="C167" s="5"/>
      <c r="D167" s="10"/>
      <c r="E167" s="5"/>
      <c r="F167" s="5"/>
      <c r="G167" s="5"/>
      <c r="H167" s="2"/>
      <c r="I167" s="2"/>
      <c r="J167" s="2"/>
      <c r="K167" s="2"/>
      <c r="L167" s="2"/>
      <c r="M167" s="2"/>
      <c r="N167" s="2"/>
      <c r="O167" s="2"/>
      <c r="P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8"/>
      <c r="B168" s="5"/>
      <c r="C168" s="5"/>
      <c r="D168" s="10"/>
      <c r="E168" s="5"/>
      <c r="F168" s="5"/>
      <c r="G168" s="5"/>
      <c r="H168" s="2"/>
      <c r="I168" s="2"/>
      <c r="J168" s="2"/>
      <c r="K168" s="2"/>
      <c r="L168" s="2"/>
      <c r="M168" s="2"/>
      <c r="N168" s="2"/>
      <c r="O168" s="2"/>
      <c r="P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8"/>
      <c r="B169" s="5"/>
      <c r="C169" s="5"/>
      <c r="D169" s="10"/>
      <c r="E169" s="5"/>
      <c r="F169" s="5"/>
      <c r="G169" s="5"/>
      <c r="H169" s="2"/>
      <c r="I169" s="2"/>
      <c r="J169" s="2"/>
      <c r="K169" s="2"/>
      <c r="L169" s="2"/>
      <c r="M169" s="2"/>
      <c r="N169" s="2"/>
      <c r="O169" s="2"/>
      <c r="P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8"/>
      <c r="B170" s="5"/>
      <c r="C170" s="5"/>
      <c r="D170" s="10"/>
      <c r="E170" s="5"/>
      <c r="F170" s="5"/>
      <c r="G170" s="5"/>
      <c r="H170" s="2"/>
      <c r="I170" s="2"/>
      <c r="J170" s="2"/>
      <c r="K170" s="2"/>
      <c r="L170" s="2"/>
      <c r="M170" s="2"/>
      <c r="N170" s="2"/>
      <c r="O170" s="2"/>
      <c r="P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8"/>
      <c r="B171" s="5"/>
      <c r="C171" s="5"/>
      <c r="D171" s="10"/>
      <c r="E171" s="5"/>
      <c r="F171" s="5"/>
      <c r="G171" s="5"/>
      <c r="H171" s="2"/>
      <c r="I171" s="2"/>
      <c r="J171" s="2"/>
      <c r="K171" s="2"/>
      <c r="L171" s="2"/>
      <c r="M171" s="2"/>
      <c r="N171" s="2"/>
      <c r="O171" s="2"/>
      <c r="P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8"/>
      <c r="B172" s="5"/>
      <c r="C172" s="5"/>
      <c r="D172" s="10"/>
      <c r="E172" s="5"/>
      <c r="F172" s="5"/>
      <c r="G172" s="5"/>
      <c r="H172" s="2"/>
      <c r="I172" s="2"/>
      <c r="J172" s="2"/>
      <c r="K172" s="2"/>
      <c r="L172" s="2"/>
      <c r="M172" s="2"/>
      <c r="N172" s="2"/>
      <c r="O172" s="2"/>
      <c r="P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8"/>
      <c r="B173" s="5"/>
      <c r="C173" s="5"/>
      <c r="D173" s="10"/>
      <c r="E173" s="5"/>
      <c r="F173" s="5"/>
      <c r="G173" s="5"/>
      <c r="H173" s="2"/>
      <c r="I173" s="2"/>
      <c r="J173" s="2"/>
      <c r="K173" s="2"/>
      <c r="L173" s="2"/>
      <c r="M173" s="2"/>
      <c r="N173" s="2"/>
      <c r="O173" s="2"/>
      <c r="P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8"/>
      <c r="B174" s="5"/>
      <c r="C174" s="5"/>
      <c r="D174" s="10"/>
      <c r="E174" s="5"/>
      <c r="F174" s="5"/>
      <c r="G174" s="5"/>
      <c r="H174" s="2"/>
      <c r="I174" s="2"/>
      <c r="J174" s="2"/>
      <c r="K174" s="2"/>
      <c r="L174" s="2"/>
      <c r="M174" s="2"/>
      <c r="N174" s="2"/>
      <c r="O174" s="2"/>
      <c r="P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8"/>
      <c r="B175" s="5"/>
      <c r="C175" s="5"/>
      <c r="D175" s="10"/>
      <c r="E175" s="5"/>
      <c r="F175" s="5"/>
      <c r="G175" s="5"/>
      <c r="H175" s="2"/>
      <c r="I175" s="2"/>
      <c r="J175" s="2"/>
      <c r="K175" s="2"/>
      <c r="L175" s="2"/>
      <c r="M175" s="2"/>
      <c r="N175" s="2"/>
      <c r="O175" s="2"/>
      <c r="P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8"/>
      <c r="B176" s="5"/>
      <c r="C176" s="5"/>
      <c r="D176" s="10"/>
      <c r="E176" s="5"/>
      <c r="F176" s="5"/>
      <c r="G176" s="5"/>
      <c r="H176" s="2"/>
      <c r="I176" s="2"/>
      <c r="J176" s="2"/>
      <c r="K176" s="2"/>
      <c r="L176" s="2"/>
      <c r="M176" s="2"/>
      <c r="N176" s="2"/>
      <c r="O176" s="2"/>
      <c r="P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8"/>
      <c r="B177" s="5"/>
      <c r="C177" s="5"/>
      <c r="D177" s="10"/>
      <c r="E177" s="5"/>
      <c r="F177" s="5"/>
      <c r="G177" s="5"/>
      <c r="H177" s="2"/>
      <c r="I177" s="2"/>
      <c r="J177" s="2"/>
      <c r="K177" s="2"/>
      <c r="L177" s="2"/>
      <c r="M177" s="2"/>
      <c r="N177" s="2"/>
      <c r="O177" s="2"/>
      <c r="P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8"/>
      <c r="B178" s="5"/>
      <c r="C178" s="5"/>
      <c r="D178" s="10"/>
      <c r="E178" s="5"/>
      <c r="F178" s="5"/>
      <c r="G178" s="5"/>
      <c r="H178" s="2"/>
      <c r="I178" s="2"/>
      <c r="J178" s="2"/>
      <c r="K178" s="2"/>
      <c r="L178" s="2"/>
      <c r="M178" s="2"/>
      <c r="N178" s="2"/>
      <c r="O178" s="2"/>
      <c r="P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8"/>
      <c r="B179" s="5"/>
      <c r="C179" s="5"/>
      <c r="D179" s="10"/>
      <c r="E179" s="5"/>
      <c r="F179" s="5"/>
      <c r="G179" s="5"/>
      <c r="H179" s="2"/>
      <c r="I179" s="2"/>
      <c r="J179" s="2"/>
      <c r="K179" s="2"/>
      <c r="L179" s="2"/>
      <c r="M179" s="2"/>
      <c r="N179" s="2"/>
      <c r="O179" s="2"/>
      <c r="P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8"/>
      <c r="B180" s="5"/>
      <c r="C180" s="5"/>
      <c r="D180" s="10"/>
      <c r="E180" s="5"/>
      <c r="F180" s="5"/>
      <c r="G180" s="5"/>
      <c r="H180" s="2"/>
      <c r="I180" s="2"/>
      <c r="J180" s="2"/>
      <c r="K180" s="2"/>
      <c r="L180" s="2"/>
      <c r="M180" s="2"/>
      <c r="N180" s="2"/>
      <c r="O180" s="2"/>
      <c r="P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8"/>
      <c r="B181" s="5"/>
      <c r="C181" s="5"/>
      <c r="D181" s="10"/>
      <c r="E181" s="5"/>
      <c r="F181" s="5"/>
      <c r="G181" s="5"/>
      <c r="H181" s="2"/>
      <c r="I181" s="2"/>
      <c r="J181" s="2"/>
      <c r="K181" s="2"/>
      <c r="L181" s="2"/>
      <c r="M181" s="2"/>
      <c r="N181" s="2"/>
      <c r="O181" s="2"/>
      <c r="P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8"/>
      <c r="B182" s="5"/>
      <c r="C182" s="5"/>
      <c r="D182" s="10"/>
      <c r="E182" s="5"/>
      <c r="F182" s="5"/>
      <c r="G182" s="5"/>
      <c r="H182" s="2"/>
      <c r="I182" s="2"/>
      <c r="J182" s="2"/>
      <c r="K182" s="2"/>
      <c r="L182" s="2"/>
      <c r="M182" s="2"/>
      <c r="N182" s="2"/>
      <c r="O182" s="2"/>
      <c r="P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8"/>
      <c r="B183" s="5"/>
      <c r="C183" s="5"/>
      <c r="D183" s="10"/>
      <c r="E183" s="5"/>
      <c r="F183" s="5"/>
      <c r="G183" s="5"/>
      <c r="H183" s="2"/>
      <c r="I183" s="2"/>
      <c r="J183" s="2"/>
      <c r="K183" s="2"/>
      <c r="L183" s="2"/>
      <c r="M183" s="2"/>
      <c r="N183" s="2"/>
      <c r="O183" s="2"/>
      <c r="P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8"/>
      <c r="B184" s="5"/>
      <c r="C184" s="5"/>
      <c r="D184" s="10"/>
      <c r="E184" s="5"/>
      <c r="F184" s="5"/>
      <c r="G184" s="5"/>
      <c r="H184" s="2"/>
      <c r="I184" s="2"/>
      <c r="J184" s="2"/>
      <c r="K184" s="2"/>
      <c r="L184" s="2"/>
      <c r="M184" s="2"/>
      <c r="N184" s="2"/>
      <c r="O184" s="2"/>
      <c r="P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8"/>
      <c r="B185" s="5"/>
      <c r="C185" s="5"/>
      <c r="D185" s="10"/>
      <c r="E185" s="5"/>
      <c r="F185" s="5"/>
      <c r="G185" s="5"/>
      <c r="H185" s="2"/>
      <c r="I185" s="2"/>
      <c r="J185" s="2"/>
      <c r="K185" s="2"/>
      <c r="L185" s="2"/>
      <c r="M185" s="2"/>
      <c r="N185" s="2"/>
      <c r="O185" s="2"/>
      <c r="P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8"/>
      <c r="B186" s="5"/>
      <c r="C186" s="5"/>
      <c r="D186" s="10"/>
      <c r="E186" s="5"/>
      <c r="F186" s="5"/>
      <c r="G186" s="5"/>
      <c r="H186" s="2"/>
      <c r="I186" s="2"/>
      <c r="J186" s="2"/>
      <c r="K186" s="2"/>
      <c r="L186" s="2"/>
      <c r="M186" s="2"/>
      <c r="N186" s="2"/>
      <c r="O186" s="2"/>
      <c r="P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8"/>
      <c r="B187" s="5"/>
      <c r="C187" s="5"/>
      <c r="D187" s="10"/>
      <c r="E187" s="5"/>
      <c r="F187" s="5"/>
      <c r="G187" s="5"/>
      <c r="H187" s="2"/>
      <c r="I187" s="2"/>
      <c r="J187" s="2"/>
      <c r="K187" s="2"/>
      <c r="L187" s="2"/>
      <c r="M187" s="2"/>
      <c r="N187" s="2"/>
      <c r="O187" s="2"/>
      <c r="P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8"/>
      <c r="B188" s="5"/>
      <c r="C188" s="5"/>
      <c r="D188" s="10"/>
      <c r="E188" s="5"/>
      <c r="F188" s="5"/>
      <c r="G188" s="5"/>
      <c r="H188" s="2"/>
      <c r="I188" s="2"/>
      <c r="J188" s="2"/>
      <c r="K188" s="2"/>
      <c r="L188" s="2"/>
      <c r="M188" s="2"/>
      <c r="N188" s="2"/>
      <c r="O188" s="2"/>
      <c r="P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8"/>
      <c r="B189" s="5"/>
      <c r="C189" s="5"/>
      <c r="D189" s="10"/>
      <c r="E189" s="5"/>
      <c r="F189" s="5"/>
      <c r="G189" s="5"/>
      <c r="H189" s="2"/>
      <c r="I189" s="2"/>
      <c r="J189" s="2"/>
      <c r="K189" s="2"/>
      <c r="L189" s="2"/>
      <c r="M189" s="2"/>
      <c r="N189" s="2"/>
      <c r="O189" s="2"/>
      <c r="P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8"/>
      <c r="B190" s="5"/>
      <c r="C190" s="5"/>
      <c r="D190" s="10"/>
      <c r="E190" s="5"/>
      <c r="F190" s="5"/>
      <c r="G190" s="5"/>
      <c r="H190" s="2"/>
      <c r="I190" s="2"/>
      <c r="J190" s="2"/>
      <c r="K190" s="2"/>
      <c r="L190" s="2"/>
      <c r="M190" s="2"/>
      <c r="N190" s="2"/>
      <c r="O190" s="2"/>
      <c r="P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8"/>
      <c r="B191" s="5"/>
      <c r="C191" s="5"/>
      <c r="D191" s="10"/>
      <c r="E191" s="5"/>
      <c r="F191" s="5"/>
      <c r="G191" s="5"/>
      <c r="H191" s="2"/>
      <c r="I191" s="2"/>
      <c r="J191" s="2"/>
      <c r="K191" s="2"/>
      <c r="L191" s="2"/>
      <c r="M191" s="2"/>
      <c r="N191" s="2"/>
      <c r="O191" s="2"/>
      <c r="P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8"/>
      <c r="B192" s="5"/>
      <c r="C192" s="5"/>
      <c r="D192" s="10"/>
      <c r="E192" s="5"/>
      <c r="F192" s="5"/>
      <c r="G192" s="5"/>
      <c r="H192" s="2"/>
      <c r="I192" s="2"/>
      <c r="J192" s="2"/>
      <c r="K192" s="2"/>
      <c r="L192" s="2"/>
      <c r="M192" s="2"/>
      <c r="N192" s="2"/>
      <c r="O192" s="2"/>
      <c r="P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8"/>
      <c r="B193" s="5"/>
      <c r="C193" s="5"/>
      <c r="D193" s="10"/>
      <c r="E193" s="5"/>
      <c r="F193" s="5"/>
      <c r="G193" s="5"/>
      <c r="H193" s="2"/>
      <c r="I193" s="2"/>
      <c r="J193" s="2"/>
      <c r="K193" s="2"/>
      <c r="L193" s="2"/>
      <c r="M193" s="2"/>
      <c r="N193" s="2"/>
      <c r="O193" s="2"/>
      <c r="P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8"/>
      <c r="B194" s="5"/>
      <c r="C194" s="5"/>
      <c r="D194" s="10"/>
      <c r="E194" s="5"/>
      <c r="F194" s="5"/>
      <c r="G194" s="5"/>
      <c r="H194" s="2"/>
      <c r="I194" s="2"/>
      <c r="J194" s="2"/>
      <c r="K194" s="2"/>
      <c r="L194" s="2"/>
      <c r="M194" s="2"/>
      <c r="N194" s="2"/>
      <c r="O194" s="2"/>
      <c r="P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8"/>
      <c r="B195" s="5"/>
      <c r="C195" s="5"/>
      <c r="D195" s="10"/>
      <c r="E195" s="5"/>
      <c r="F195" s="5"/>
      <c r="G195" s="5"/>
      <c r="H195" s="2"/>
      <c r="I195" s="2"/>
      <c r="J195" s="2"/>
      <c r="K195" s="2"/>
      <c r="L195" s="2"/>
      <c r="M195" s="2"/>
      <c r="N195" s="2"/>
      <c r="O195" s="2"/>
      <c r="P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8"/>
      <c r="B196" s="5"/>
      <c r="C196" s="5"/>
      <c r="D196" s="10"/>
      <c r="E196" s="5"/>
      <c r="F196" s="5"/>
      <c r="G196" s="5"/>
      <c r="H196" s="2"/>
      <c r="I196" s="2"/>
      <c r="J196" s="2"/>
      <c r="K196" s="2"/>
      <c r="L196" s="2"/>
      <c r="M196" s="2"/>
      <c r="N196" s="2"/>
      <c r="O196" s="2"/>
      <c r="P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8"/>
      <c r="B197" s="5"/>
      <c r="C197" s="5"/>
      <c r="D197" s="10"/>
      <c r="E197" s="5"/>
      <c r="F197" s="5"/>
      <c r="G197" s="5"/>
      <c r="H197" s="2"/>
      <c r="I197" s="2"/>
      <c r="J197" s="2"/>
      <c r="K197" s="2"/>
      <c r="L197" s="2"/>
      <c r="M197" s="2"/>
      <c r="N197" s="2"/>
      <c r="O197" s="2"/>
      <c r="P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8"/>
      <c r="B198" s="5"/>
      <c r="C198" s="5"/>
      <c r="D198" s="10"/>
      <c r="E198" s="5"/>
      <c r="F198" s="5"/>
      <c r="G198" s="5"/>
      <c r="H198" s="2"/>
      <c r="I198" s="2"/>
      <c r="J198" s="2"/>
      <c r="K198" s="2"/>
      <c r="L198" s="2"/>
      <c r="M198" s="2"/>
      <c r="N198" s="2"/>
      <c r="O198" s="2"/>
      <c r="P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8"/>
      <c r="B199" s="5"/>
      <c r="C199" s="5"/>
      <c r="D199" s="10"/>
      <c r="E199" s="5"/>
      <c r="F199" s="5"/>
      <c r="G199" s="5"/>
      <c r="H199" s="2"/>
      <c r="I199" s="2"/>
      <c r="J199" s="2"/>
      <c r="K199" s="2"/>
      <c r="L199" s="2"/>
      <c r="M199" s="2"/>
      <c r="N199" s="2"/>
      <c r="O199" s="2"/>
      <c r="P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8"/>
      <c r="B200" s="5"/>
      <c r="C200" s="5"/>
      <c r="D200" s="10"/>
      <c r="E200" s="5"/>
      <c r="F200" s="5"/>
      <c r="G200" s="5"/>
      <c r="H200" s="2"/>
      <c r="I200" s="2"/>
      <c r="J200" s="2"/>
      <c r="K200" s="2"/>
      <c r="L200" s="2"/>
      <c r="M200" s="2"/>
      <c r="N200" s="2"/>
      <c r="O200" s="2"/>
      <c r="P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8"/>
      <c r="B201" s="5"/>
      <c r="C201" s="5"/>
      <c r="D201" s="10"/>
      <c r="E201" s="5"/>
      <c r="F201" s="5"/>
      <c r="G201" s="5"/>
      <c r="H201" s="2"/>
      <c r="I201" s="2"/>
      <c r="J201" s="2"/>
      <c r="K201" s="2"/>
      <c r="L201" s="2"/>
      <c r="M201" s="2"/>
      <c r="N201" s="2"/>
      <c r="O201" s="2"/>
      <c r="P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8"/>
      <c r="B202" s="5"/>
      <c r="C202" s="5"/>
      <c r="D202" s="10"/>
      <c r="E202" s="5"/>
      <c r="F202" s="5"/>
      <c r="G202" s="5"/>
      <c r="H202" s="2"/>
      <c r="I202" s="2"/>
      <c r="J202" s="2"/>
      <c r="K202" s="2"/>
      <c r="L202" s="2"/>
      <c r="M202" s="2"/>
      <c r="N202" s="2"/>
      <c r="O202" s="2"/>
      <c r="P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8"/>
      <c r="B203" s="5"/>
      <c r="C203" s="5"/>
      <c r="D203" s="10"/>
      <c r="E203" s="5"/>
      <c r="F203" s="5"/>
      <c r="G203" s="5"/>
      <c r="H203" s="2"/>
      <c r="I203" s="2"/>
      <c r="J203" s="2"/>
      <c r="K203" s="2"/>
      <c r="L203" s="2"/>
      <c r="M203" s="2"/>
      <c r="N203" s="2"/>
      <c r="O203" s="2"/>
      <c r="P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8"/>
      <c r="B204" s="5"/>
      <c r="C204" s="5"/>
      <c r="D204" s="10"/>
      <c r="E204" s="5"/>
      <c r="F204" s="5"/>
      <c r="G204" s="5"/>
      <c r="H204" s="2"/>
      <c r="I204" s="2"/>
      <c r="J204" s="2"/>
      <c r="K204" s="2"/>
      <c r="L204" s="2"/>
      <c r="M204" s="2"/>
      <c r="N204" s="2"/>
      <c r="O204" s="2"/>
      <c r="P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8"/>
      <c r="B205" s="5"/>
      <c r="C205" s="5"/>
      <c r="D205" s="10"/>
      <c r="E205" s="5"/>
      <c r="F205" s="5"/>
      <c r="G205" s="5"/>
      <c r="H205" s="2"/>
      <c r="I205" s="2"/>
      <c r="J205" s="2"/>
      <c r="K205" s="2"/>
      <c r="L205" s="2"/>
      <c r="M205" s="2"/>
      <c r="N205" s="2"/>
      <c r="O205" s="2"/>
      <c r="P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8"/>
      <c r="B206" s="5"/>
      <c r="C206" s="5"/>
      <c r="D206" s="10"/>
      <c r="E206" s="5"/>
      <c r="F206" s="5"/>
      <c r="G206" s="5"/>
      <c r="H206" s="2"/>
      <c r="I206" s="2"/>
      <c r="J206" s="2"/>
      <c r="K206" s="2"/>
      <c r="L206" s="2"/>
      <c r="M206" s="2"/>
      <c r="N206" s="2"/>
      <c r="O206" s="2"/>
      <c r="P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8"/>
      <c r="B207" s="5"/>
      <c r="C207" s="5"/>
      <c r="D207" s="10"/>
      <c r="E207" s="5"/>
      <c r="F207" s="5"/>
      <c r="G207" s="5"/>
      <c r="H207" s="2"/>
      <c r="I207" s="2"/>
      <c r="J207" s="2"/>
      <c r="K207" s="2"/>
      <c r="L207" s="2"/>
      <c r="M207" s="2"/>
      <c r="N207" s="2"/>
      <c r="O207" s="2"/>
      <c r="P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8"/>
      <c r="B208" s="5"/>
      <c r="C208" s="5"/>
      <c r="D208" s="10"/>
      <c r="E208" s="5"/>
      <c r="F208" s="5"/>
      <c r="G208" s="5"/>
      <c r="H208" s="2"/>
      <c r="I208" s="2"/>
      <c r="J208" s="2"/>
      <c r="K208" s="2"/>
      <c r="L208" s="2"/>
      <c r="M208" s="2"/>
      <c r="N208" s="2"/>
      <c r="O208" s="2"/>
      <c r="P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8"/>
      <c r="B209" s="5"/>
      <c r="C209" s="5"/>
      <c r="D209" s="10"/>
      <c r="E209" s="5"/>
      <c r="F209" s="5"/>
      <c r="G209" s="5"/>
      <c r="H209" s="2"/>
      <c r="I209" s="2"/>
      <c r="J209" s="2"/>
      <c r="K209" s="2"/>
      <c r="L209" s="2"/>
      <c r="M209" s="2"/>
      <c r="N209" s="2"/>
      <c r="O209" s="2"/>
      <c r="P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8"/>
      <c r="B210" s="5"/>
      <c r="C210" s="5"/>
      <c r="D210" s="10"/>
      <c r="E210" s="5"/>
      <c r="F210" s="5"/>
      <c r="G210" s="5"/>
      <c r="H210" s="2"/>
      <c r="I210" s="2"/>
      <c r="J210" s="2"/>
      <c r="K210" s="2"/>
      <c r="L210" s="2"/>
      <c r="M210" s="2"/>
      <c r="N210" s="2"/>
      <c r="O210" s="2"/>
      <c r="P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8"/>
      <c r="B211" s="5"/>
      <c r="C211" s="5"/>
      <c r="D211" s="10"/>
      <c r="E211" s="5"/>
      <c r="F211" s="5"/>
      <c r="G211" s="5"/>
      <c r="H211" s="2"/>
      <c r="I211" s="2"/>
      <c r="J211" s="2"/>
      <c r="K211" s="2"/>
      <c r="L211" s="2"/>
      <c r="M211" s="2"/>
      <c r="N211" s="2"/>
      <c r="O211" s="2"/>
      <c r="P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8"/>
      <c r="B212" s="5"/>
      <c r="C212" s="5"/>
      <c r="D212" s="10"/>
      <c r="E212" s="5"/>
      <c r="F212" s="5"/>
      <c r="G212" s="5"/>
      <c r="H212" s="2"/>
      <c r="I212" s="2"/>
      <c r="J212" s="2"/>
      <c r="K212" s="2"/>
      <c r="L212" s="2"/>
      <c r="M212" s="2"/>
      <c r="N212" s="2"/>
      <c r="O212" s="2"/>
      <c r="P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8"/>
      <c r="B213" s="5"/>
      <c r="C213" s="5"/>
      <c r="D213" s="10"/>
      <c r="E213" s="5"/>
      <c r="F213" s="5"/>
      <c r="G213" s="5"/>
      <c r="H213" s="2"/>
      <c r="I213" s="2"/>
      <c r="J213" s="2"/>
      <c r="K213" s="2"/>
      <c r="L213" s="2"/>
      <c r="M213" s="2"/>
      <c r="N213" s="2"/>
      <c r="O213" s="2"/>
      <c r="P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8"/>
      <c r="B214" s="5"/>
      <c r="C214" s="5"/>
      <c r="D214" s="10"/>
      <c r="E214" s="5"/>
      <c r="F214" s="5"/>
      <c r="G214" s="5"/>
      <c r="H214" s="2"/>
      <c r="I214" s="2"/>
      <c r="J214" s="2"/>
      <c r="K214" s="2"/>
      <c r="L214" s="2"/>
      <c r="M214" s="2"/>
      <c r="N214" s="2"/>
      <c r="O214" s="2"/>
      <c r="P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8"/>
      <c r="B215" s="5"/>
      <c r="C215" s="5"/>
      <c r="D215" s="10"/>
      <c r="E215" s="5"/>
      <c r="F215" s="5"/>
      <c r="G215" s="5"/>
      <c r="H215" s="2"/>
      <c r="I215" s="2"/>
      <c r="J215" s="2"/>
      <c r="K215" s="2"/>
      <c r="L215" s="2"/>
      <c r="M215" s="2"/>
      <c r="N215" s="2"/>
      <c r="O215" s="2"/>
      <c r="P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8"/>
      <c r="B216" s="5"/>
      <c r="C216" s="5"/>
      <c r="D216" s="10"/>
      <c r="E216" s="5"/>
      <c r="F216" s="5"/>
      <c r="G216" s="5"/>
      <c r="H216" s="2"/>
      <c r="I216" s="2"/>
      <c r="J216" s="2"/>
      <c r="K216" s="2"/>
      <c r="L216" s="2"/>
      <c r="M216" s="2"/>
      <c r="N216" s="2"/>
      <c r="O216" s="2"/>
      <c r="P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8"/>
      <c r="B217" s="5"/>
      <c r="C217" s="5"/>
      <c r="D217" s="10"/>
      <c r="E217" s="5"/>
      <c r="F217" s="5"/>
      <c r="G217" s="5"/>
      <c r="H217" s="2"/>
      <c r="I217" s="2"/>
      <c r="J217" s="2"/>
      <c r="K217" s="2"/>
      <c r="L217" s="2"/>
      <c r="M217" s="2"/>
      <c r="N217" s="2"/>
      <c r="O217" s="2"/>
      <c r="P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8"/>
      <c r="B218" s="5"/>
      <c r="C218" s="5"/>
      <c r="D218" s="10"/>
      <c r="E218" s="5"/>
      <c r="F218" s="5"/>
      <c r="G218" s="5"/>
      <c r="H218" s="2"/>
      <c r="I218" s="2"/>
      <c r="J218" s="2"/>
      <c r="K218" s="2"/>
      <c r="L218" s="2"/>
      <c r="M218" s="2"/>
      <c r="N218" s="2"/>
      <c r="O218" s="2"/>
      <c r="P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8"/>
      <c r="B219" s="5"/>
      <c r="C219" s="5"/>
      <c r="D219" s="10"/>
      <c r="E219" s="5"/>
      <c r="F219" s="5"/>
      <c r="G219" s="5"/>
      <c r="H219" s="2"/>
      <c r="I219" s="2"/>
      <c r="J219" s="2"/>
      <c r="K219" s="2"/>
      <c r="L219" s="2"/>
      <c r="M219" s="2"/>
      <c r="N219" s="2"/>
      <c r="O219" s="2"/>
      <c r="P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8"/>
      <c r="B220" s="5"/>
      <c r="C220" s="5"/>
      <c r="D220" s="10"/>
      <c r="E220" s="5"/>
      <c r="F220" s="5"/>
      <c r="G220" s="5"/>
      <c r="H220" s="2"/>
      <c r="I220" s="2"/>
      <c r="J220" s="2"/>
      <c r="K220" s="2"/>
      <c r="L220" s="2"/>
      <c r="M220" s="2"/>
      <c r="N220" s="2"/>
      <c r="O220" s="2"/>
      <c r="P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8"/>
      <c r="B221" s="5"/>
      <c r="C221" s="5"/>
      <c r="D221" s="10"/>
      <c r="E221" s="5"/>
      <c r="F221" s="5"/>
      <c r="G221" s="5"/>
      <c r="H221" s="2"/>
      <c r="I221" s="2"/>
      <c r="J221" s="2"/>
      <c r="K221" s="2"/>
      <c r="L221" s="2"/>
      <c r="M221" s="2"/>
      <c r="N221" s="2"/>
      <c r="O221" s="2"/>
      <c r="P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8"/>
      <c r="B222" s="5"/>
      <c r="C222" s="5"/>
      <c r="D222" s="10"/>
      <c r="E222" s="5"/>
      <c r="F222" s="5"/>
      <c r="G222" s="5"/>
      <c r="H222" s="2"/>
      <c r="I222" s="2"/>
      <c r="J222" s="2"/>
      <c r="K222" s="2"/>
      <c r="L222" s="2"/>
      <c r="M222" s="2"/>
      <c r="N222" s="2"/>
      <c r="O222" s="2"/>
      <c r="P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8"/>
      <c r="B223" s="5"/>
      <c r="C223" s="5"/>
      <c r="D223" s="10"/>
      <c r="E223" s="5"/>
      <c r="F223" s="5"/>
      <c r="G223" s="5"/>
      <c r="H223" s="2"/>
      <c r="I223" s="2"/>
      <c r="J223" s="2"/>
      <c r="K223" s="2"/>
      <c r="L223" s="2"/>
      <c r="M223" s="2"/>
      <c r="N223" s="2"/>
      <c r="O223" s="2"/>
      <c r="P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8"/>
      <c r="B224" s="5"/>
      <c r="C224" s="5"/>
      <c r="D224" s="10"/>
      <c r="E224" s="5"/>
      <c r="F224" s="5"/>
      <c r="G224" s="5"/>
      <c r="H224" s="2"/>
      <c r="I224" s="2"/>
      <c r="J224" s="2"/>
      <c r="K224" s="2"/>
      <c r="L224" s="2"/>
      <c r="M224" s="2"/>
      <c r="N224" s="2"/>
      <c r="O224" s="2"/>
      <c r="P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8"/>
      <c r="B225" s="5"/>
      <c r="C225" s="5"/>
      <c r="D225" s="10"/>
      <c r="E225" s="5"/>
      <c r="F225" s="5"/>
      <c r="G225" s="5"/>
      <c r="H225" s="2"/>
      <c r="I225" s="2"/>
      <c r="J225" s="2"/>
      <c r="K225" s="2"/>
      <c r="L225" s="2"/>
      <c r="M225" s="2"/>
      <c r="N225" s="2"/>
      <c r="O225" s="2"/>
      <c r="P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8"/>
      <c r="B226" s="5"/>
      <c r="C226" s="5"/>
      <c r="D226" s="10"/>
      <c r="E226" s="5"/>
      <c r="F226" s="5"/>
      <c r="G226" s="5"/>
      <c r="H226" s="2"/>
      <c r="I226" s="2"/>
      <c r="J226" s="2"/>
      <c r="K226" s="2"/>
      <c r="L226" s="2"/>
      <c r="M226" s="2"/>
      <c r="N226" s="2"/>
      <c r="O226" s="2"/>
      <c r="P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8"/>
      <c r="B227" s="5"/>
      <c r="C227" s="5"/>
      <c r="D227" s="10"/>
      <c r="E227" s="5"/>
      <c r="F227" s="5"/>
      <c r="G227" s="5"/>
      <c r="H227" s="2"/>
      <c r="I227" s="2"/>
      <c r="J227" s="2"/>
      <c r="K227" s="2"/>
      <c r="L227" s="2"/>
      <c r="M227" s="2"/>
      <c r="N227" s="2"/>
      <c r="O227" s="2"/>
      <c r="P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8"/>
      <c r="B228" s="5"/>
      <c r="C228" s="5"/>
      <c r="D228" s="10"/>
      <c r="E228" s="5"/>
      <c r="F228" s="5"/>
      <c r="G228" s="5"/>
      <c r="H228" s="2"/>
      <c r="I228" s="2"/>
      <c r="J228" s="2"/>
      <c r="K228" s="2"/>
      <c r="L228" s="2"/>
      <c r="M228" s="2"/>
      <c r="N228" s="2"/>
      <c r="O228" s="2"/>
      <c r="P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8"/>
      <c r="B229" s="5"/>
      <c r="C229" s="5"/>
      <c r="D229" s="10"/>
      <c r="E229" s="5"/>
      <c r="F229" s="5"/>
      <c r="G229" s="5"/>
      <c r="H229" s="2"/>
      <c r="I229" s="2"/>
      <c r="J229" s="2"/>
      <c r="K229" s="2"/>
      <c r="L229" s="2"/>
      <c r="M229" s="2"/>
      <c r="N229" s="2"/>
      <c r="O229" s="2"/>
      <c r="P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8"/>
      <c r="B230" s="5"/>
      <c r="C230" s="5"/>
      <c r="D230" s="10"/>
      <c r="E230" s="5"/>
      <c r="F230" s="5"/>
      <c r="G230" s="5"/>
      <c r="H230" s="2"/>
      <c r="I230" s="2"/>
      <c r="J230" s="2"/>
      <c r="K230" s="2"/>
      <c r="L230" s="2"/>
      <c r="M230" s="2"/>
      <c r="N230" s="2"/>
      <c r="O230" s="2"/>
      <c r="P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8"/>
      <c r="B231" s="5"/>
      <c r="C231" s="5"/>
      <c r="D231" s="10"/>
      <c r="E231" s="5"/>
      <c r="F231" s="5"/>
      <c r="G231" s="5"/>
      <c r="H231" s="2"/>
      <c r="I231" s="2"/>
      <c r="J231" s="2"/>
      <c r="K231" s="2"/>
      <c r="L231" s="2"/>
      <c r="M231" s="2"/>
      <c r="N231" s="2"/>
      <c r="O231" s="2"/>
      <c r="P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8"/>
      <c r="B232" s="5"/>
      <c r="C232" s="5"/>
      <c r="D232" s="10"/>
      <c r="E232" s="5"/>
      <c r="F232" s="5"/>
      <c r="G232" s="5"/>
      <c r="H232" s="2"/>
      <c r="I232" s="2"/>
      <c r="J232" s="2"/>
      <c r="K232" s="2"/>
      <c r="L232" s="2"/>
      <c r="M232" s="2"/>
      <c r="N232" s="2"/>
      <c r="O232" s="2"/>
      <c r="P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8"/>
      <c r="B233" s="5"/>
      <c r="C233" s="5"/>
      <c r="D233" s="10"/>
      <c r="E233" s="5"/>
      <c r="F233" s="5"/>
      <c r="G233" s="5"/>
      <c r="H233" s="2"/>
      <c r="I233" s="2"/>
      <c r="J233" s="2"/>
      <c r="K233" s="2"/>
      <c r="L233" s="2"/>
      <c r="M233" s="2"/>
      <c r="N233" s="2"/>
      <c r="O233" s="2"/>
      <c r="P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8"/>
      <c r="B234" s="5"/>
      <c r="C234" s="5"/>
      <c r="D234" s="10"/>
      <c r="E234" s="5"/>
      <c r="F234" s="5"/>
      <c r="G234" s="5"/>
      <c r="H234" s="2"/>
      <c r="I234" s="2"/>
      <c r="J234" s="2"/>
      <c r="K234" s="2"/>
      <c r="L234" s="2"/>
      <c r="M234" s="2"/>
      <c r="N234" s="2"/>
      <c r="O234" s="2"/>
      <c r="P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8"/>
      <c r="B235" s="5"/>
      <c r="C235" s="5"/>
      <c r="D235" s="10"/>
      <c r="E235" s="5"/>
      <c r="F235" s="5"/>
      <c r="G235" s="5"/>
      <c r="H235" s="2"/>
      <c r="I235" s="2"/>
      <c r="J235" s="2"/>
      <c r="K235" s="2"/>
      <c r="L235" s="2"/>
      <c r="M235" s="2"/>
      <c r="N235" s="2"/>
      <c r="O235" s="2"/>
      <c r="P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8"/>
      <c r="B236" s="5"/>
      <c r="C236" s="5"/>
      <c r="D236" s="10"/>
      <c r="E236" s="5"/>
      <c r="F236" s="5"/>
      <c r="G236" s="5"/>
      <c r="H236" s="2"/>
      <c r="I236" s="2"/>
      <c r="J236" s="2"/>
      <c r="K236" s="2"/>
      <c r="L236" s="2"/>
      <c r="M236" s="2"/>
      <c r="N236" s="2"/>
      <c r="O236" s="2"/>
      <c r="P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8"/>
      <c r="B237" s="5"/>
      <c r="C237" s="5"/>
      <c r="D237" s="10"/>
      <c r="E237" s="5"/>
      <c r="F237" s="5"/>
      <c r="G237" s="5"/>
      <c r="H237" s="2"/>
      <c r="I237" s="2"/>
      <c r="J237" s="2"/>
      <c r="K237" s="2"/>
      <c r="L237" s="2"/>
      <c r="M237" s="2"/>
      <c r="N237" s="2"/>
      <c r="O237" s="2"/>
      <c r="P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8"/>
      <c r="B238" s="5"/>
      <c r="C238" s="5"/>
      <c r="D238" s="10"/>
      <c r="E238" s="5"/>
      <c r="F238" s="5"/>
      <c r="G238" s="5"/>
      <c r="H238" s="2"/>
      <c r="I238" s="2"/>
      <c r="J238" s="2"/>
      <c r="K238" s="2"/>
      <c r="L238" s="2"/>
      <c r="M238" s="2"/>
      <c r="N238" s="2"/>
      <c r="O238" s="2"/>
      <c r="P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8"/>
      <c r="B239" s="5"/>
      <c r="C239" s="5"/>
      <c r="D239" s="10"/>
      <c r="E239" s="5"/>
      <c r="F239" s="5"/>
      <c r="G239" s="5"/>
      <c r="H239" s="2"/>
      <c r="I239" s="2"/>
      <c r="J239" s="2"/>
      <c r="K239" s="2"/>
      <c r="L239" s="2"/>
      <c r="M239" s="2"/>
      <c r="N239" s="2"/>
      <c r="O239" s="2"/>
      <c r="P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8"/>
      <c r="B240" s="5"/>
      <c r="C240" s="5"/>
      <c r="D240" s="10"/>
      <c r="E240" s="5"/>
      <c r="F240" s="5"/>
      <c r="G240" s="5"/>
      <c r="H240" s="2"/>
      <c r="I240" s="2"/>
      <c r="J240" s="2"/>
      <c r="K240" s="2"/>
      <c r="L240" s="2"/>
      <c r="M240" s="2"/>
      <c r="N240" s="2"/>
      <c r="O240" s="2"/>
      <c r="P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8"/>
      <c r="B241" s="5"/>
      <c r="C241" s="5"/>
      <c r="D241" s="10"/>
      <c r="E241" s="5"/>
      <c r="F241" s="5"/>
      <c r="G241" s="5"/>
      <c r="H241" s="2"/>
      <c r="I241" s="2"/>
      <c r="J241" s="2"/>
      <c r="K241" s="2"/>
      <c r="L241" s="2"/>
      <c r="M241" s="2"/>
      <c r="N241" s="2"/>
      <c r="O241" s="2"/>
      <c r="P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8"/>
      <c r="B242" s="5"/>
      <c r="C242" s="5"/>
      <c r="D242" s="10"/>
      <c r="E242" s="5"/>
      <c r="F242" s="5"/>
      <c r="G242" s="5"/>
      <c r="H242" s="2"/>
      <c r="I242" s="2"/>
      <c r="J242" s="2"/>
      <c r="K242" s="2"/>
      <c r="L242" s="2"/>
      <c r="M242" s="2"/>
      <c r="N242" s="2"/>
      <c r="O242" s="2"/>
      <c r="P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8"/>
      <c r="B243" s="5"/>
      <c r="C243" s="5"/>
      <c r="D243" s="10"/>
      <c r="E243" s="5"/>
      <c r="F243" s="5"/>
      <c r="G243" s="5"/>
      <c r="H243" s="2"/>
      <c r="I243" s="2"/>
      <c r="J243" s="2"/>
      <c r="K243" s="2"/>
      <c r="L243" s="2"/>
      <c r="M243" s="2"/>
      <c r="N243" s="2"/>
      <c r="O243" s="2"/>
      <c r="P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8"/>
      <c r="B244" s="5"/>
      <c r="C244" s="5"/>
      <c r="D244" s="10"/>
      <c r="E244" s="5"/>
      <c r="F244" s="5"/>
      <c r="G244" s="5"/>
      <c r="H244" s="2"/>
      <c r="I244" s="2"/>
      <c r="J244" s="2"/>
      <c r="K244" s="2"/>
      <c r="L244" s="2"/>
      <c r="M244" s="2"/>
      <c r="N244" s="2"/>
      <c r="O244" s="2"/>
      <c r="P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8"/>
      <c r="B245" s="5"/>
      <c r="C245" s="5"/>
      <c r="D245" s="10"/>
      <c r="E245" s="5"/>
      <c r="F245" s="5"/>
      <c r="G245" s="5"/>
      <c r="H245" s="2"/>
      <c r="I245" s="2"/>
      <c r="J245" s="2"/>
      <c r="K245" s="2"/>
      <c r="L245" s="2"/>
      <c r="M245" s="2"/>
      <c r="N245" s="2"/>
      <c r="O245" s="2"/>
      <c r="P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8"/>
      <c r="B246" s="5"/>
      <c r="C246" s="5"/>
      <c r="D246" s="10"/>
      <c r="E246" s="5"/>
      <c r="F246" s="5"/>
      <c r="G246" s="5"/>
      <c r="H246" s="2"/>
      <c r="I246" s="2"/>
      <c r="J246" s="2"/>
      <c r="K246" s="2"/>
      <c r="L246" s="2"/>
      <c r="M246" s="2"/>
      <c r="N246" s="2"/>
      <c r="O246" s="2"/>
      <c r="P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8"/>
      <c r="B247" s="5"/>
      <c r="C247" s="5"/>
      <c r="D247" s="10"/>
      <c r="E247" s="5"/>
      <c r="F247" s="5"/>
      <c r="G247" s="5"/>
      <c r="H247" s="2"/>
      <c r="I247" s="2"/>
      <c r="J247" s="2"/>
      <c r="K247" s="2"/>
      <c r="L247" s="2"/>
      <c r="M247" s="2"/>
      <c r="N247" s="2"/>
      <c r="O247" s="2"/>
      <c r="P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8"/>
      <c r="B248" s="5"/>
      <c r="C248" s="5"/>
      <c r="D248" s="10"/>
      <c r="E248" s="5"/>
      <c r="F248" s="5"/>
      <c r="G248" s="5"/>
      <c r="H248" s="2"/>
      <c r="I248" s="2"/>
      <c r="J248" s="2"/>
      <c r="K248" s="2"/>
      <c r="L248" s="2"/>
      <c r="M248" s="2"/>
      <c r="N248" s="2"/>
      <c r="O248" s="2"/>
      <c r="P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8"/>
      <c r="B249" s="5"/>
      <c r="C249" s="5"/>
      <c r="D249" s="10"/>
      <c r="E249" s="5"/>
      <c r="F249" s="5"/>
      <c r="G249" s="5"/>
      <c r="H249" s="2"/>
      <c r="I249" s="2"/>
      <c r="J249" s="2"/>
      <c r="K249" s="2"/>
      <c r="L249" s="2"/>
      <c r="M249" s="2"/>
      <c r="N249" s="2"/>
      <c r="O249" s="2"/>
      <c r="P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8"/>
      <c r="B250" s="5"/>
      <c r="C250" s="5"/>
      <c r="D250" s="10"/>
      <c r="E250" s="5"/>
      <c r="F250" s="5"/>
      <c r="G250" s="5"/>
      <c r="H250" s="2"/>
      <c r="I250" s="2"/>
      <c r="J250" s="2"/>
      <c r="K250" s="2"/>
      <c r="L250" s="2"/>
      <c r="M250" s="2"/>
      <c r="N250" s="2"/>
      <c r="O250" s="2"/>
      <c r="P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5"/>
      <c r="C251" s="5"/>
      <c r="D251" s="5"/>
      <c r="E251" s="5"/>
      <c r="F251" s="5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5"/>
      <c r="C252" s="5"/>
      <c r="D252" s="5"/>
      <c r="E252" s="5"/>
      <c r="F252" s="5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5"/>
      <c r="C253" s="5"/>
      <c r="D253" s="5"/>
      <c r="E253" s="5"/>
      <c r="F253" s="5"/>
      <c r="G253" s="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5"/>
      <c r="C254" s="5"/>
      <c r="D254" s="5"/>
      <c r="E254" s="5"/>
      <c r="F254" s="5"/>
      <c r="G254" s="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5"/>
      <c r="C255" s="5"/>
      <c r="D255" s="5"/>
      <c r="E255" s="5"/>
      <c r="F255" s="5"/>
      <c r="G255" s="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5"/>
      <c r="C256" s="5"/>
      <c r="D256" s="5"/>
      <c r="E256" s="5"/>
      <c r="F256" s="5"/>
      <c r="G256" s="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5"/>
      <c r="C257" s="5"/>
      <c r="D257" s="5"/>
      <c r="E257" s="5"/>
      <c r="F257" s="5"/>
      <c r="G257" s="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5"/>
      <c r="C258" s="5"/>
      <c r="D258" s="5"/>
      <c r="E258" s="5"/>
      <c r="F258" s="5"/>
      <c r="G258" s="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5"/>
      <c r="C259" s="5"/>
      <c r="D259" s="5"/>
      <c r="E259" s="5"/>
      <c r="F259" s="5"/>
      <c r="G259" s="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5"/>
      <c r="C260" s="5"/>
      <c r="D260" s="5"/>
      <c r="E260" s="5"/>
      <c r="F260" s="5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5"/>
      <c r="D261" s="5"/>
      <c r="E261" s="5"/>
      <c r="F261" s="5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5"/>
      <c r="D262" s="5"/>
      <c r="E262" s="5"/>
      <c r="F262" s="5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5"/>
      <c r="D263" s="5"/>
      <c r="E263" s="5"/>
      <c r="F263" s="5"/>
      <c r="G263" s="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5"/>
      <c r="D264" s="5"/>
      <c r="E264" s="5"/>
      <c r="F264" s="5"/>
      <c r="G264" s="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5"/>
      <c r="D265" s="5"/>
      <c r="E265" s="5"/>
      <c r="F265" s="5"/>
      <c r="G265" s="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5"/>
      <c r="D266" s="5"/>
      <c r="E266" s="5"/>
      <c r="F266" s="5"/>
      <c r="G266" s="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5"/>
      <c r="D267" s="5"/>
      <c r="E267" s="5"/>
      <c r="F267" s="5"/>
      <c r="G267" s="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5"/>
      <c r="D268" s="5"/>
      <c r="E268" s="5"/>
      <c r="F268" s="5"/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5"/>
      <c r="D269" s="5"/>
      <c r="E269" s="5"/>
      <c r="F269" s="5"/>
      <c r="G269" s="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5"/>
      <c r="D270" s="5"/>
      <c r="E270" s="5"/>
      <c r="F270" s="5"/>
      <c r="G270" s="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5"/>
      <c r="D271" s="5"/>
      <c r="E271" s="5"/>
      <c r="F271" s="5"/>
      <c r="G271" s="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5"/>
      <c r="D272" s="5"/>
      <c r="E272" s="5"/>
      <c r="F272" s="5"/>
      <c r="G272" s="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5"/>
      <c r="D273" s="5"/>
      <c r="E273" s="5"/>
      <c r="F273" s="5"/>
      <c r="G273" s="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5"/>
      <c r="D274" s="5"/>
      <c r="E274" s="5"/>
      <c r="F274" s="5"/>
      <c r="G274" s="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5"/>
      <c r="D275" s="5"/>
      <c r="E275" s="5"/>
      <c r="F275" s="5"/>
      <c r="G275" s="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5"/>
      <c r="D276" s="5"/>
      <c r="E276" s="5"/>
      <c r="F276" s="5"/>
      <c r="G276" s="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5"/>
      <c r="D277" s="5"/>
      <c r="E277" s="5"/>
      <c r="F277" s="5"/>
      <c r="G277" s="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5"/>
      <c r="D278" s="5"/>
      <c r="E278" s="5"/>
      <c r="F278" s="5"/>
      <c r="G278" s="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5"/>
      <c r="D279" s="5"/>
      <c r="E279" s="5"/>
      <c r="F279" s="5"/>
      <c r="G279" s="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5"/>
      <c r="D280" s="5"/>
      <c r="E280" s="5"/>
      <c r="F280" s="5"/>
      <c r="G280" s="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5"/>
      <c r="D281" s="5"/>
      <c r="E281" s="5"/>
      <c r="F281" s="5"/>
      <c r="G281" s="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5"/>
      <c r="D282" s="5"/>
      <c r="E282" s="5"/>
      <c r="F282" s="5"/>
      <c r="G282" s="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5"/>
      <c r="D283" s="5"/>
      <c r="E283" s="5"/>
      <c r="F283" s="5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5"/>
      <c r="D284" s="5"/>
      <c r="E284" s="5"/>
      <c r="F284" s="5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5"/>
      <c r="D285" s="5"/>
      <c r="E285" s="5"/>
      <c r="F285" s="5"/>
      <c r="G285" s="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5"/>
      <c r="D286" s="5"/>
      <c r="E286" s="5"/>
      <c r="F286" s="5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5"/>
      <c r="D287" s="5"/>
      <c r="E287" s="5"/>
      <c r="F287" s="5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5"/>
      <c r="D288" s="5"/>
      <c r="E288" s="5"/>
      <c r="F288" s="5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5"/>
      <c r="D289" s="5"/>
      <c r="E289" s="5"/>
      <c r="F289" s="5"/>
      <c r="G289" s="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5"/>
      <c r="D290" s="5"/>
      <c r="E290" s="5"/>
      <c r="F290" s="5"/>
      <c r="G290" s="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5"/>
      <c r="D291" s="5"/>
      <c r="E291" s="5"/>
      <c r="F291" s="5"/>
      <c r="G291" s="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5"/>
      <c r="D292" s="5"/>
      <c r="E292" s="5"/>
      <c r="F292" s="5"/>
      <c r="G292" s="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5"/>
      <c r="D293" s="5"/>
      <c r="E293" s="5"/>
      <c r="F293" s="5"/>
      <c r="G293" s="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5"/>
      <c r="D294" s="5"/>
      <c r="E294" s="5"/>
      <c r="F294" s="5"/>
      <c r="G294" s="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5"/>
      <c r="D295" s="5"/>
      <c r="E295" s="5"/>
      <c r="F295" s="5"/>
      <c r="G295" s="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5"/>
      <c r="D296" s="5"/>
      <c r="E296" s="5"/>
      <c r="F296" s="5"/>
      <c r="G296" s="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5"/>
      <c r="D297" s="5"/>
      <c r="E297" s="5"/>
      <c r="F297" s="5"/>
      <c r="G297" s="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5"/>
      <c r="D298" s="5"/>
      <c r="E298" s="5"/>
      <c r="F298" s="5"/>
      <c r="G298" s="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5"/>
      <c r="D299" s="5"/>
      <c r="E299" s="5"/>
      <c r="F299" s="5"/>
      <c r="G299" s="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5"/>
      <c r="D300" s="5"/>
      <c r="E300" s="5"/>
      <c r="F300" s="5"/>
      <c r="G300" s="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5"/>
      <c r="D301" s="5"/>
      <c r="E301" s="5"/>
      <c r="F301" s="5"/>
      <c r="G301" s="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5"/>
      <c r="F302" s="5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5"/>
      <c r="F303" s="5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5"/>
      <c r="F304" s="5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5"/>
      <c r="F305" s="5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5"/>
      <c r="F306" s="5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5"/>
      <c r="F307" s="5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5"/>
      <c r="F308" s="5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5"/>
      <c r="F309" s="5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5"/>
      <c r="F310" s="5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5"/>
      <c r="F311" s="5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5"/>
      <c r="F312" s="5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5"/>
      <c r="F313" s="5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5"/>
      <c r="F314" s="5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5"/>
      <c r="F315" s="5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5"/>
      <c r="F316" s="5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5"/>
      <c r="F317" s="5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5"/>
      <c r="F318" s="5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5"/>
      <c r="F319" s="5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5"/>
      <c r="F320" s="5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5"/>
      <c r="F321" s="5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5"/>
      <c r="F322" s="5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5"/>
      <c r="F323" s="5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5"/>
      <c r="F324" s="5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5"/>
      <c r="F325" s="5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5"/>
      <c r="F326" s="5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5"/>
      <c r="F327" s="5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5"/>
      <c r="F328" s="5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5"/>
      <c r="F329" s="5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5"/>
      <c r="F330" s="5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5"/>
      <c r="F331" s="5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5"/>
      <c r="F332" s="5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5"/>
      <c r="F333" s="5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5"/>
      <c r="F334" s="5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5"/>
      <c r="F335" s="5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5"/>
      <c r="F336" s="5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5"/>
      <c r="F337" s="5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5"/>
      <c r="F338" s="5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5"/>
      <c r="F339" s="5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5"/>
      <c r="F340" s="5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5"/>
      <c r="F341" s="5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5"/>
      <c r="F342" s="5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5"/>
      <c r="F343" s="5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5"/>
      <c r="F344" s="5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5"/>
      <c r="F345" s="5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5"/>
      <c r="F346" s="5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5"/>
      <c r="F347" s="5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5"/>
      <c r="F348" s="5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5"/>
      <c r="F349" s="5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5"/>
      <c r="F350" s="5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5"/>
      <c r="F351" s="5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5"/>
      <c r="F352" s="5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5"/>
      <c r="F353" s="5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5"/>
      <c r="F354" s="5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5"/>
      <c r="F355" s="5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5"/>
      <c r="F356" s="5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5"/>
      <c r="F357" s="5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5"/>
      <c r="F358" s="5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5"/>
      <c r="F359" s="5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5"/>
      <c r="F360" s="5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5"/>
      <c r="F361" s="5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5"/>
      <c r="F362" s="5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5"/>
      <c r="F363" s="5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5"/>
      <c r="F364" s="5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5"/>
      <c r="F365" s="5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5"/>
      <c r="F366" s="5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5"/>
      <c r="F367" s="5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5"/>
      <c r="F368" s="5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5"/>
      <c r="F369" s="5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5"/>
      <c r="F370" s="5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5"/>
      <c r="F371" s="5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5"/>
      <c r="F372" s="5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5"/>
      <c r="F373" s="5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5"/>
      <c r="F374" s="5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5"/>
      <c r="F375" s="5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5"/>
      <c r="F376" s="5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5"/>
      <c r="F377" s="5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5"/>
      <c r="F378" s="5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5"/>
      <c r="F379" s="5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5"/>
      <c r="F380" s="5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5"/>
      <c r="F381" s="5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5"/>
      <c r="F382" s="5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5"/>
      <c r="F383" s="5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5"/>
      <c r="F384" s="5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5"/>
      <c r="F385" s="5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5"/>
      <c r="F386" s="5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5"/>
      <c r="F387" s="5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5"/>
      <c r="F388" s="5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5"/>
      <c r="F389" s="5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5"/>
      <c r="F390" s="5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5"/>
      <c r="F391" s="5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5"/>
      <c r="F392" s="5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5"/>
      <c r="F393" s="5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5"/>
      <c r="F394" s="5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5"/>
      <c r="F395" s="5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5"/>
      <c r="F396" s="5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5"/>
      <c r="F397" s="5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5"/>
      <c r="F398" s="5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5"/>
      <c r="F399" s="5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5"/>
      <c r="F400" s="5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5"/>
      <c r="F401" s="5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5"/>
      <c r="F402" s="5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5"/>
      <c r="F403" s="5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5"/>
      <c r="F404" s="5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5"/>
      <c r="F405" s="5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5"/>
      <c r="F406" s="5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5"/>
      <c r="F407" s="5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5"/>
      <c r="F408" s="5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5"/>
      <c r="F409" s="5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5"/>
      <c r="F410" s="5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5"/>
      <c r="F411" s="5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5"/>
      <c r="F412" s="5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5"/>
      <c r="F413" s="5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5"/>
      <c r="F414" s="5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5"/>
      <c r="F415" s="5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5"/>
      <c r="F416" s="5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5"/>
      <c r="F417" s="5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5"/>
      <c r="F418" s="5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5"/>
      <c r="F419" s="5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5"/>
      <c r="F420" s="5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5"/>
      <c r="F421" s="5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5"/>
      <c r="F422" s="5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5"/>
      <c r="F423" s="5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5"/>
      <c r="F424" s="5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5"/>
      <c r="F425" s="5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5"/>
      <c r="F426" s="5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5"/>
      <c r="F427" s="5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5"/>
      <c r="F428" s="5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5"/>
      <c r="F429" s="5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5"/>
      <c r="F430" s="5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5"/>
      <c r="F431" s="5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5"/>
      <c r="F432" s="5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5"/>
      <c r="F433" s="5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5"/>
      <c r="F434" s="5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5"/>
      <c r="F435" s="5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5"/>
      <c r="F436" s="5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5"/>
      <c r="F437" s="5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5"/>
      <c r="F438" s="5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5"/>
      <c r="F439" s="5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5"/>
      <c r="F440" s="5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5"/>
      <c r="F441" s="5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5"/>
      <c r="F442" s="5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5"/>
      <c r="F443" s="5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5"/>
      <c r="F444" s="5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5"/>
      <c r="F445" s="5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5"/>
      <c r="F446" s="5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5"/>
      <c r="F447" s="5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5"/>
      <c r="F448" s="5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5"/>
      <c r="F449" s="5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5"/>
      <c r="F450" s="5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5"/>
      <c r="F451" s="5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5"/>
      <c r="F452" s="5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5"/>
      <c r="F453" s="5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5"/>
      <c r="F454" s="5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5"/>
      <c r="F455" s="5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5"/>
      <c r="F456" s="5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5"/>
      <c r="F457" s="5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5"/>
      <c r="F458" s="5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5"/>
      <c r="F459" s="5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5"/>
      <c r="F460" s="5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5"/>
      <c r="F461" s="5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5"/>
      <c r="F462" s="5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5"/>
      <c r="F463" s="5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5"/>
      <c r="F464" s="5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5"/>
      <c r="F465" s="5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5"/>
      <c r="F466" s="5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5"/>
      <c r="F467" s="5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5"/>
      <c r="F468" s="5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5"/>
      <c r="F469" s="5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5"/>
      <c r="F470" s="5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5"/>
      <c r="F471" s="5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5"/>
      <c r="F472" s="5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5"/>
      <c r="F473" s="5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5"/>
      <c r="F474" s="5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5"/>
      <c r="F475" s="5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5"/>
      <c r="F476" s="5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5"/>
      <c r="F477" s="5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5"/>
      <c r="F478" s="5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5"/>
      <c r="F479" s="5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5"/>
      <c r="F480" s="5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5"/>
      <c r="F481" s="5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5"/>
      <c r="F482" s="5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5"/>
      <c r="F483" s="5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5"/>
      <c r="F484" s="5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5"/>
      <c r="F485" s="5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5"/>
      <c r="F486" s="5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5"/>
      <c r="F487" s="5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5"/>
      <c r="F488" s="5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5"/>
      <c r="F489" s="5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5"/>
      <c r="F490" s="5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5"/>
      <c r="F491" s="5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5"/>
      <c r="F492" s="5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5"/>
      <c r="F493" s="5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5"/>
      <c r="F494" s="5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5"/>
      <c r="F495" s="5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5"/>
      <c r="F496" s="5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5"/>
      <c r="F497" s="5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5"/>
      <c r="F498" s="5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5"/>
      <c r="F499" s="5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5"/>
      <c r="F500" s="5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5"/>
      <c r="F501" s="5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5"/>
      <c r="F502" s="5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5"/>
      <c r="F503" s="5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5"/>
      <c r="F504" s="5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5"/>
      <c r="F505" s="5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5"/>
      <c r="F506" s="5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5"/>
      <c r="F507" s="5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5"/>
      <c r="F508" s="5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5"/>
      <c r="F509" s="5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5"/>
      <c r="F510" s="5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5"/>
      <c r="F511" s="5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5"/>
      <c r="F512" s="5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5"/>
      <c r="F513" s="5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5"/>
      <c r="F514" s="5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5"/>
      <c r="F515" s="5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5"/>
      <c r="F516" s="5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5"/>
      <c r="F517" s="5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5"/>
      <c r="F518" s="5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5"/>
      <c r="F519" s="5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5"/>
      <c r="F520" s="5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5"/>
      <c r="F521" s="5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5"/>
      <c r="F522" s="5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5"/>
      <c r="F523" s="5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5"/>
      <c r="F524" s="5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5"/>
      <c r="F525" s="5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5"/>
      <c r="F526" s="5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5"/>
      <c r="F527" s="5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5"/>
      <c r="F528" s="5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5"/>
      <c r="F529" s="5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5"/>
      <c r="F530" s="5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5"/>
      <c r="F531" s="5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5"/>
      <c r="F532" s="5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5"/>
      <c r="F533" s="5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5"/>
      <c r="F534" s="5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5"/>
      <c r="F535" s="5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5"/>
      <c r="F536" s="5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5"/>
      <c r="F537" s="5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5"/>
      <c r="F538" s="5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5"/>
      <c r="F539" s="5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5"/>
      <c r="F540" s="5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5"/>
      <c r="F541" s="5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5"/>
      <c r="F542" s="5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5"/>
      <c r="F543" s="5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5"/>
      <c r="F544" s="5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5"/>
      <c r="F545" s="5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5"/>
      <c r="F546" s="5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5"/>
      <c r="F547" s="5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5"/>
      <c r="F548" s="5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5"/>
      <c r="F549" s="5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5"/>
      <c r="F550" s="5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5"/>
      <c r="F551" s="5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5"/>
      <c r="F552" s="5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5"/>
      <c r="F553" s="5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5"/>
      <c r="F554" s="5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5"/>
      <c r="F555" s="5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5"/>
      <c r="F556" s="5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5"/>
      <c r="F557" s="5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5"/>
      <c r="F558" s="5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5"/>
      <c r="F559" s="5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5"/>
      <c r="F560" s="5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5"/>
      <c r="F561" s="5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5"/>
      <c r="F562" s="5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5"/>
      <c r="F563" s="5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5"/>
      <c r="F564" s="5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5"/>
      <c r="F565" s="5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5"/>
      <c r="F566" s="5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5"/>
      <c r="F567" s="5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5"/>
      <c r="F568" s="5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5"/>
      <c r="F569" s="5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5"/>
      <c r="F570" s="5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5"/>
      <c r="F571" s="5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5"/>
      <c r="F572" s="5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5"/>
      <c r="F573" s="5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5"/>
      <c r="F574" s="5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5"/>
      <c r="F575" s="5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5"/>
      <c r="F576" s="5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5"/>
      <c r="F577" s="5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5"/>
      <c r="F578" s="5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5"/>
      <c r="F579" s="5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5"/>
      <c r="F580" s="5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5"/>
      <c r="F581" s="5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5"/>
      <c r="F582" s="5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5"/>
      <c r="F583" s="5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5"/>
      <c r="F584" s="5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5"/>
      <c r="F585" s="5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5"/>
      <c r="F586" s="5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5"/>
      <c r="F587" s="5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5"/>
      <c r="F588" s="5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5"/>
      <c r="F589" s="5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5"/>
      <c r="F590" s="5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5"/>
      <c r="F591" s="5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5"/>
      <c r="F592" s="5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5"/>
      <c r="F593" s="5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5"/>
      <c r="F594" s="5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5"/>
      <c r="F595" s="5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5"/>
      <c r="F596" s="5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5"/>
      <c r="F597" s="5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5"/>
      <c r="F598" s="5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5"/>
      <c r="F599" s="5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5"/>
      <c r="F600" s="5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5"/>
      <c r="F601" s="5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5"/>
      <c r="F602" s="5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5"/>
      <c r="F603" s="5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5"/>
      <c r="F604" s="5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5"/>
      <c r="F605" s="5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5"/>
      <c r="F606" s="5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5"/>
      <c r="F607" s="5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5"/>
      <c r="F608" s="5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5"/>
      <c r="F609" s="5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5"/>
      <c r="F610" s="5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5"/>
      <c r="F611" s="5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5"/>
      <c r="F612" s="5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5"/>
      <c r="F613" s="5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5"/>
      <c r="F614" s="5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5"/>
      <c r="F615" s="5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5"/>
      <c r="F616" s="5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5"/>
      <c r="F617" s="5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5"/>
      <c r="F618" s="5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5"/>
      <c r="F619" s="5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5"/>
      <c r="F620" s="5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5"/>
      <c r="F621" s="5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5"/>
      <c r="F622" s="5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5"/>
      <c r="F623" s="5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5"/>
      <c r="F624" s="5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5"/>
      <c r="F625" s="5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5"/>
      <c r="F626" s="5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5"/>
      <c r="F627" s="5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5"/>
      <c r="F628" s="5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5"/>
      <c r="F629" s="5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5"/>
      <c r="F630" s="5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5"/>
      <c r="F631" s="5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5"/>
      <c r="F632" s="5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5"/>
      <c r="F633" s="5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5"/>
      <c r="F634" s="5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5"/>
      <c r="F635" s="5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5"/>
      <c r="F636" s="5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5"/>
      <c r="F637" s="5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5"/>
      <c r="F638" s="5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5"/>
      <c r="F639" s="5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5"/>
      <c r="F640" s="5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5"/>
      <c r="F641" s="5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5"/>
      <c r="F642" s="5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5"/>
      <c r="F643" s="5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5"/>
      <c r="F644" s="5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5"/>
      <c r="F645" s="5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5"/>
      <c r="F646" s="5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5"/>
      <c r="F647" s="5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5"/>
      <c r="F648" s="5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5"/>
      <c r="F649" s="5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5"/>
      <c r="F650" s="5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5"/>
      <c r="F651" s="5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5"/>
      <c r="F652" s="5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5"/>
      <c r="F653" s="5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5"/>
      <c r="F654" s="5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5"/>
      <c r="F655" s="5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5"/>
      <c r="F656" s="5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5"/>
      <c r="F657" s="5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5"/>
      <c r="F658" s="5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5"/>
      <c r="F659" s="5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5"/>
      <c r="F660" s="5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5"/>
      <c r="F661" s="5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5"/>
      <c r="F662" s="5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5"/>
      <c r="F663" s="5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5"/>
      <c r="F664" s="5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5"/>
      <c r="F665" s="5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5"/>
      <c r="F666" s="5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5"/>
      <c r="F667" s="5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5"/>
      <c r="F668" s="5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5"/>
      <c r="F669" s="5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5"/>
      <c r="F670" s="5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5"/>
      <c r="F671" s="5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5"/>
      <c r="F672" s="5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5"/>
      <c r="F673" s="5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5"/>
      <c r="F674" s="5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5"/>
      <c r="F675" s="5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5"/>
      <c r="F676" s="5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5"/>
      <c r="F677" s="5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5"/>
      <c r="F678" s="5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5"/>
      <c r="F679" s="5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5"/>
      <c r="F680" s="5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5"/>
      <c r="F681" s="5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5"/>
      <c r="F682" s="5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5"/>
      <c r="F683" s="5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5"/>
      <c r="F684" s="5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5"/>
      <c r="F685" s="5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5"/>
      <c r="F686" s="5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5"/>
      <c r="F687" s="5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5"/>
      <c r="F688" s="5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5"/>
      <c r="F689" s="5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5"/>
      <c r="F690" s="5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5"/>
      <c r="F691" s="5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5"/>
      <c r="F692" s="5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5"/>
      <c r="F693" s="5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5"/>
      <c r="F694" s="5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5"/>
      <c r="F695" s="5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5"/>
      <c r="F696" s="5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5"/>
      <c r="F697" s="5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5"/>
      <c r="F698" s="5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5"/>
      <c r="F699" s="5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5"/>
      <c r="F700" s="5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5"/>
      <c r="F701" s="5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5"/>
      <c r="F702" s="5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5"/>
      <c r="F703" s="5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5"/>
      <c r="F704" s="5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5"/>
      <c r="F705" s="5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5"/>
      <c r="F706" s="5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5"/>
      <c r="F707" s="5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5"/>
      <c r="F708" s="5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5"/>
      <c r="F709" s="5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5"/>
      <c r="F710" s="5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5"/>
      <c r="F711" s="5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5"/>
      <c r="F712" s="5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5"/>
      <c r="F713" s="5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5"/>
      <c r="F714" s="5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5"/>
      <c r="F715" s="5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5"/>
      <c r="F716" s="5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5"/>
      <c r="F717" s="5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5"/>
      <c r="F718" s="5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5"/>
      <c r="F719" s="5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5"/>
      <c r="F720" s="5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5"/>
      <c r="F721" s="5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5"/>
      <c r="F722" s="5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5"/>
      <c r="F723" s="5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5"/>
      <c r="F724" s="5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5"/>
      <c r="F725" s="5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5"/>
      <c r="F726" s="5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5"/>
      <c r="F727" s="5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5"/>
      <c r="F728" s="5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5"/>
      <c r="F729" s="5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5"/>
      <c r="F730" s="5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5"/>
      <c r="F731" s="5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5"/>
      <c r="F732" s="5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5"/>
      <c r="F733" s="5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5"/>
      <c r="F734" s="5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5"/>
      <c r="F735" s="5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5"/>
      <c r="F736" s="5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5"/>
      <c r="F737" s="5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5"/>
      <c r="F738" s="5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5"/>
      <c r="F739" s="5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5"/>
      <c r="F740" s="5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5"/>
      <c r="F741" s="5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5"/>
      <c r="F742" s="5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5"/>
      <c r="F743" s="5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5"/>
      <c r="F744" s="5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5"/>
      <c r="F745" s="5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5"/>
      <c r="F746" s="5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5"/>
      <c r="F747" s="5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5"/>
      <c r="F748" s="5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5"/>
      <c r="F749" s="5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5"/>
      <c r="F750" s="5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5"/>
      <c r="F751" s="5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5"/>
      <c r="F752" s="5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5"/>
      <c r="F753" s="5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5"/>
      <c r="F754" s="5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5"/>
      <c r="F755" s="5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5"/>
      <c r="F756" s="5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5"/>
      <c r="F757" s="5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5"/>
      <c r="F758" s="5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5"/>
      <c r="F759" s="5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5"/>
      <c r="F760" s="5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5"/>
      <c r="F761" s="5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5"/>
      <c r="F762" s="5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5"/>
      <c r="F763" s="5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5"/>
      <c r="F764" s="5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5"/>
      <c r="F765" s="5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5"/>
      <c r="F766" s="5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5"/>
      <c r="F767" s="5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5"/>
      <c r="F768" s="5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5"/>
      <c r="F769" s="5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5"/>
      <c r="F770" s="5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5"/>
      <c r="F771" s="5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5"/>
      <c r="F772" s="5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5"/>
      <c r="F773" s="5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5"/>
      <c r="F774" s="5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5"/>
      <c r="F775" s="5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5"/>
      <c r="F776" s="5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5"/>
      <c r="F777" s="5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5"/>
      <c r="F778" s="5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5"/>
      <c r="F779" s="5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5"/>
      <c r="F780" s="5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5"/>
      <c r="F781" s="5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5"/>
      <c r="F782" s="5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5"/>
      <c r="F783" s="5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5"/>
      <c r="F784" s="5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5"/>
      <c r="F785" s="5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5"/>
      <c r="F786" s="5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5"/>
      <c r="F787" s="5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5"/>
      <c r="F788" s="5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5"/>
      <c r="F789" s="5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5"/>
      <c r="F790" s="5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5"/>
      <c r="F791" s="5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5"/>
      <c r="F792" s="5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5"/>
      <c r="F793" s="5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5"/>
      <c r="F794" s="5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5"/>
      <c r="F795" s="5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5"/>
      <c r="F796" s="5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5"/>
      <c r="F797" s="5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5"/>
      <c r="F798" s="5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5"/>
      <c r="F799" s="5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5"/>
      <c r="F800" s="5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5"/>
      <c r="F801" s="5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5"/>
      <c r="F802" s="5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5"/>
      <c r="F803" s="5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5"/>
      <c r="F804" s="5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5"/>
      <c r="F805" s="5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5"/>
      <c r="F806" s="5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5"/>
      <c r="F807" s="5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5"/>
      <c r="F808" s="5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5"/>
      <c r="F809" s="5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5"/>
      <c r="F810" s="5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5"/>
      <c r="F811" s="5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5"/>
      <c r="F812" s="5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5"/>
      <c r="F813" s="5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5"/>
      <c r="F814" s="5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5"/>
      <c r="F815" s="5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5"/>
      <c r="F816" s="5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5"/>
      <c r="F817" s="5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5"/>
      <c r="F818" s="5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5"/>
      <c r="F819" s="5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5"/>
      <c r="F820" s="5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5"/>
      <c r="F821" s="5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5"/>
      <c r="F822" s="5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5"/>
      <c r="F823" s="5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5"/>
      <c r="F824" s="5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5"/>
      <c r="F825" s="5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5"/>
      <c r="F826" s="5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5"/>
      <c r="F827" s="5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5"/>
      <c r="F828" s="5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5"/>
      <c r="F829" s="5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5"/>
      <c r="F830" s="5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5"/>
      <c r="F831" s="5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5"/>
      <c r="F832" s="5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5"/>
      <c r="F833" s="5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5"/>
      <c r="F834" s="5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5"/>
      <c r="F835" s="5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5"/>
      <c r="F836" s="5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5"/>
      <c r="F837" s="5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5"/>
      <c r="F838" s="5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5"/>
      <c r="F839" s="5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5"/>
      <c r="F840" s="5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5"/>
      <c r="F841" s="5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5"/>
      <c r="F842" s="5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5"/>
      <c r="F843" s="5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5"/>
      <c r="F844" s="5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5"/>
      <c r="F845" s="5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5"/>
      <c r="F846" s="5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5"/>
      <c r="F847" s="5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5"/>
      <c r="F848" s="5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5"/>
      <c r="F849" s="5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5"/>
      <c r="F850" s="5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5"/>
      <c r="F851" s="5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5"/>
      <c r="F852" s="5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5"/>
      <c r="F853" s="5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5"/>
      <c r="F854" s="5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5"/>
      <c r="F855" s="5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5"/>
      <c r="F856" s="5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5"/>
      <c r="F857" s="5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5"/>
      <c r="F858" s="5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5"/>
      <c r="F859" s="5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5"/>
      <c r="F860" s="5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5"/>
      <c r="F861" s="5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5"/>
      <c r="F862" s="5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5"/>
      <c r="F863" s="5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5"/>
      <c r="F864" s="5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5"/>
      <c r="F865" s="5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5"/>
      <c r="F866" s="5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5"/>
      <c r="F867" s="5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5"/>
      <c r="F868" s="5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5"/>
      <c r="F869" s="5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5"/>
      <c r="F870" s="5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5"/>
      <c r="F871" s="5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5"/>
      <c r="F872" s="5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5"/>
      <c r="F873" s="5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5"/>
      <c r="F874" s="5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5"/>
      <c r="F875" s="5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5"/>
      <c r="F876" s="5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5"/>
      <c r="F877" s="5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5"/>
      <c r="F878" s="5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5"/>
      <c r="F879" s="5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5"/>
      <c r="F880" s="5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5"/>
      <c r="F881" s="5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5"/>
      <c r="F882" s="5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5"/>
      <c r="F883" s="5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5"/>
      <c r="F884" s="5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5"/>
      <c r="F885" s="5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5"/>
      <c r="F886" s="5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5"/>
      <c r="F887" s="5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5"/>
      <c r="F888" s="5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5"/>
      <c r="F889" s="5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5"/>
      <c r="F890" s="5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5"/>
      <c r="F891" s="5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5"/>
      <c r="F892" s="5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5"/>
      <c r="F893" s="5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5"/>
      <c r="F894" s="5"/>
      <c r="G894" s="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5"/>
      <c r="F895" s="5"/>
      <c r="G895" s="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5"/>
      <c r="F896" s="5"/>
      <c r="G896" s="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5"/>
      <c r="F897" s="5"/>
      <c r="G897" s="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5"/>
      <c r="F898" s="5"/>
      <c r="G898" s="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5"/>
      <c r="F899" s="5"/>
      <c r="G899" s="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5"/>
      <c r="F900" s="5"/>
      <c r="G900" s="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5"/>
      <c r="F901" s="5"/>
      <c r="G901" s="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5"/>
      <c r="F902" s="5"/>
      <c r="G902" s="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5"/>
      <c r="F903" s="5"/>
      <c r="G903" s="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5"/>
      <c r="F904" s="5"/>
      <c r="G904" s="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5"/>
      <c r="F905" s="5"/>
      <c r="G905" s="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5"/>
      <c r="F906" s="5"/>
      <c r="G906" s="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5"/>
      <c r="F907" s="5"/>
      <c r="G907" s="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5"/>
      <c r="F908" s="5"/>
      <c r="G908" s="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5"/>
      <c r="F909" s="5"/>
      <c r="G909" s="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5"/>
      <c r="F910" s="5"/>
      <c r="G910" s="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5"/>
      <c r="F911" s="5"/>
      <c r="G911" s="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5"/>
      <c r="F912" s="5"/>
      <c r="G912" s="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5"/>
      <c r="F913" s="5"/>
      <c r="G913" s="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5"/>
      <c r="F914" s="5"/>
      <c r="G914" s="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5"/>
      <c r="F915" s="5"/>
      <c r="G915" s="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5"/>
      <c r="F916" s="5"/>
      <c r="G916" s="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5"/>
      <c r="F917" s="5"/>
      <c r="G917" s="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5"/>
      <c r="F918" s="5"/>
      <c r="G918" s="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5"/>
      <c r="F919" s="5"/>
      <c r="G919" s="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5"/>
      <c r="F920" s="5"/>
      <c r="G920" s="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5"/>
      <c r="F921" s="5"/>
      <c r="G921" s="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5"/>
      <c r="F922" s="5"/>
      <c r="G922" s="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5"/>
      <c r="F923" s="5"/>
      <c r="G923" s="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5"/>
      <c r="F924" s="5"/>
      <c r="G924" s="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5"/>
      <c r="F925" s="5"/>
      <c r="G925" s="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5"/>
      <c r="F926" s="5"/>
      <c r="G926" s="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5"/>
      <c r="F927" s="5"/>
      <c r="G927" s="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5"/>
      <c r="F928" s="5"/>
      <c r="G928" s="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5"/>
      <c r="F929" s="5"/>
      <c r="G929" s="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5"/>
      <c r="F930" s="5"/>
      <c r="G930" s="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5"/>
      <c r="F931" s="5"/>
      <c r="G931" s="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5"/>
      <c r="F932" s="5"/>
      <c r="G932" s="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5"/>
      <c r="F933" s="5"/>
      <c r="G933" s="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5"/>
      <c r="F934" s="5"/>
      <c r="G934" s="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5"/>
      <c r="F935" s="5"/>
      <c r="G935" s="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5"/>
      <c r="F936" s="5"/>
      <c r="G936" s="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5"/>
      <c r="F937" s="5"/>
      <c r="G937" s="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5"/>
      <c r="F938" s="5"/>
      <c r="G938" s="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5"/>
      <c r="F939" s="5"/>
      <c r="G939" s="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5"/>
      <c r="F940" s="5"/>
      <c r="G940" s="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5"/>
      <c r="F941" s="5"/>
      <c r="G941" s="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5"/>
      <c r="F942" s="5"/>
      <c r="G942" s="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5"/>
      <c r="F943" s="5"/>
      <c r="G943" s="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5"/>
      <c r="F944" s="5"/>
      <c r="G944" s="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5"/>
      <c r="F945" s="5"/>
      <c r="G945" s="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5"/>
      <c r="F946" s="5"/>
      <c r="G946" s="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5"/>
      <c r="F947" s="5"/>
      <c r="G947" s="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5"/>
      <c r="F948" s="5"/>
      <c r="G948" s="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5"/>
      <c r="F949" s="5"/>
      <c r="G949" s="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5"/>
      <c r="F950" s="5"/>
      <c r="G950" s="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5"/>
      <c r="F951" s="5"/>
      <c r="G951" s="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5"/>
      <c r="F952" s="5"/>
      <c r="G952" s="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5"/>
      <c r="F953" s="5"/>
      <c r="G953" s="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5"/>
      <c r="F954" s="5"/>
      <c r="G954" s="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5"/>
      <c r="F955" s="5"/>
      <c r="G955" s="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5"/>
      <c r="F956" s="5"/>
      <c r="G956" s="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5"/>
      <c r="F957" s="5"/>
      <c r="G957" s="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5"/>
      <c r="F958" s="5"/>
      <c r="G958" s="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5"/>
      <c r="F959" s="5"/>
      <c r="G959" s="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5"/>
      <c r="F960" s="5"/>
      <c r="G960" s="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5"/>
      <c r="F961" s="5"/>
      <c r="G961" s="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5"/>
      <c r="F962" s="5"/>
      <c r="G962" s="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5"/>
      <c r="F963" s="5"/>
      <c r="G963" s="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5"/>
      <c r="F964" s="5"/>
      <c r="G964" s="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5"/>
      <c r="F965" s="5"/>
      <c r="G965" s="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5"/>
      <c r="F966" s="5"/>
      <c r="G966" s="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5"/>
      <c r="F967" s="5"/>
      <c r="G967" s="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5"/>
      <c r="F968" s="5"/>
      <c r="G968" s="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5"/>
      <c r="F969" s="5"/>
      <c r="G969" s="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5"/>
      <c r="F970" s="5"/>
      <c r="G970" s="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5"/>
      <c r="F971" s="5"/>
      <c r="G971" s="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5"/>
      <c r="F972" s="5"/>
      <c r="G972" s="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5"/>
      <c r="F973" s="5"/>
      <c r="G973" s="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5"/>
      <c r="F974" s="5"/>
      <c r="G974" s="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5"/>
      <c r="F975" s="5"/>
      <c r="G975" s="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5"/>
      <c r="F976" s="5"/>
      <c r="G976" s="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5"/>
      <c r="F977" s="5"/>
      <c r="G977" s="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5"/>
      <c r="F978" s="5"/>
      <c r="G978" s="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5"/>
      <c r="F979" s="5"/>
      <c r="G979" s="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5"/>
      <c r="F980" s="5"/>
      <c r="G980" s="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5"/>
      <c r="F981" s="5"/>
      <c r="G981" s="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5"/>
      <c r="F982" s="5"/>
      <c r="G982" s="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5"/>
      <c r="F983" s="5"/>
      <c r="G983" s="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5"/>
      <c r="F984" s="5"/>
      <c r="G984" s="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5"/>
      <c r="F985" s="5"/>
      <c r="G985" s="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5"/>
      <c r="F986" s="5"/>
      <c r="G986" s="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5"/>
      <c r="F987" s="5"/>
      <c r="G987" s="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5"/>
      <c r="F988" s="5"/>
      <c r="G988" s="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5"/>
      <c r="F989" s="5"/>
      <c r="G989" s="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5"/>
      <c r="F990" s="5"/>
      <c r="G990" s="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5"/>
      <c r="F991" s="5"/>
      <c r="G991" s="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5"/>
      <c r="F992" s="5"/>
      <c r="G992" s="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5"/>
      <c r="F993" s="5"/>
      <c r="G993" s="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5"/>
      <c r="F994" s="5"/>
      <c r="G994" s="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5"/>
      <c r="F995" s="5"/>
      <c r="G995" s="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5"/>
      <c r="F996" s="5"/>
      <c r="G996" s="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5"/>
      <c r="F997" s="5"/>
      <c r="G997" s="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5"/>
      <c r="F998" s="5"/>
      <c r="G998" s="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5"/>
      <c r="F999" s="5"/>
      <c r="G999" s="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5"/>
      <c r="G1000" s="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500"/>
  <dataValidations>
    <dataValidation type="list" allowBlank="1" showErrorMessage="1" sqref="G1">
      <formula1>$K$1:$K$4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57"/>
    <col customWidth="1" min="2" max="6" width="11.71"/>
    <col customWidth="1" min="7" max="7" width="9.71"/>
    <col customWidth="1" min="8" max="8" width="14.29"/>
    <col customWidth="1" min="9" max="13" width="11.71"/>
    <col customWidth="1" min="14" max="26" width="9.14"/>
  </cols>
  <sheetData>
    <row r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16"/>
      <c r="H1" s="22" t="s">
        <v>0</v>
      </c>
      <c r="I1" s="23" t="s">
        <v>296</v>
      </c>
      <c r="J1" s="23" t="s">
        <v>297</v>
      </c>
      <c r="K1" s="23" t="s">
        <v>298</v>
      </c>
      <c r="L1" s="23" t="s">
        <v>299</v>
      </c>
      <c r="M1" s="23" t="s">
        <v>300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</v>
      </c>
      <c r="B2" s="24">
        <v>6000.0</v>
      </c>
      <c r="C2" s="24">
        <v>14700.0</v>
      </c>
      <c r="D2" s="24">
        <v>7500.0</v>
      </c>
      <c r="E2" s="24">
        <v>9100.0</v>
      </c>
      <c r="F2" s="24">
        <v>4100.0</v>
      </c>
      <c r="G2" s="16"/>
      <c r="H2" s="25" t="s">
        <v>22</v>
      </c>
      <c r="I2" s="26">
        <f t="shared" ref="I2:I4" si="1">XLOOKUP(H2,A:A,B:F)</f>
        <v>9100</v>
      </c>
      <c r="J2" s="26">
        <v>10300.0</v>
      </c>
      <c r="K2" s="26">
        <v>19100.0</v>
      </c>
      <c r="L2" s="26">
        <v>17300.0</v>
      </c>
      <c r="M2" s="26">
        <v>1000.0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8</v>
      </c>
      <c r="B3" s="24">
        <v>7800.0</v>
      </c>
      <c r="C3" s="24">
        <v>18300.0</v>
      </c>
      <c r="D3" s="24">
        <v>4800.0</v>
      </c>
      <c r="E3" s="24">
        <v>12300.0</v>
      </c>
      <c r="F3" s="24">
        <v>10700.0</v>
      </c>
      <c r="G3" s="5"/>
      <c r="H3" s="25" t="s">
        <v>44</v>
      </c>
      <c r="I3" s="26">
        <f t="shared" si="1"/>
        <v>7900</v>
      </c>
      <c r="J3" s="26">
        <v>9900.0</v>
      </c>
      <c r="K3" s="26">
        <v>16600.0</v>
      </c>
      <c r="L3" s="26">
        <v>4600.0</v>
      </c>
      <c r="M3" s="26">
        <v>3100.0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11</v>
      </c>
      <c r="B4" s="24">
        <v>12000.0</v>
      </c>
      <c r="C4" s="24">
        <v>16500.0</v>
      </c>
      <c r="D4" s="24">
        <v>8700.0</v>
      </c>
      <c r="E4" s="24">
        <v>6400.0</v>
      </c>
      <c r="F4" s="24">
        <v>7100.0</v>
      </c>
      <c r="G4" s="5"/>
      <c r="H4" s="25" t="s">
        <v>121</v>
      </c>
      <c r="I4" s="26">
        <f t="shared" si="1"/>
        <v>5000</v>
      </c>
      <c r="J4" s="26">
        <v>15200.0</v>
      </c>
      <c r="K4" s="26">
        <v>6800.0</v>
      </c>
      <c r="L4" s="26">
        <v>7700.0</v>
      </c>
      <c r="M4" s="26">
        <v>10300.0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14</v>
      </c>
      <c r="B5" s="24">
        <v>1600.0</v>
      </c>
      <c r="C5" s="24">
        <v>18900.0</v>
      </c>
      <c r="D5" s="24">
        <v>3900.0</v>
      </c>
      <c r="E5" s="24">
        <v>18600.0</v>
      </c>
      <c r="F5" s="24">
        <v>11500.0</v>
      </c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16</v>
      </c>
      <c r="B6" s="24">
        <v>5600.0</v>
      </c>
      <c r="C6" s="24">
        <v>10300.0</v>
      </c>
      <c r="D6" s="24">
        <v>4200.0</v>
      </c>
      <c r="E6" s="24">
        <v>11600.0</v>
      </c>
      <c r="F6" s="24">
        <v>8000.0</v>
      </c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18</v>
      </c>
      <c r="B7" s="24">
        <v>9200.0</v>
      </c>
      <c r="C7" s="24">
        <v>14000.0</v>
      </c>
      <c r="D7" s="24">
        <v>16000.0</v>
      </c>
      <c r="E7" s="24">
        <v>5100.0</v>
      </c>
      <c r="F7" s="24">
        <v>18900.0</v>
      </c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20</v>
      </c>
      <c r="B8" s="24">
        <v>6100.0</v>
      </c>
      <c r="C8" s="24">
        <v>14900.0</v>
      </c>
      <c r="D8" s="24">
        <v>13100.0</v>
      </c>
      <c r="E8" s="24">
        <v>18800.0</v>
      </c>
      <c r="F8" s="24">
        <v>1300.0</v>
      </c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22</v>
      </c>
      <c r="B9" s="24">
        <v>9100.0</v>
      </c>
      <c r="C9" s="24">
        <v>10300.0</v>
      </c>
      <c r="D9" s="24">
        <v>19100.0</v>
      </c>
      <c r="E9" s="24">
        <v>17300.0</v>
      </c>
      <c r="F9" s="24">
        <v>1000.0</v>
      </c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24</v>
      </c>
      <c r="B10" s="24">
        <v>12200.0</v>
      </c>
      <c r="C10" s="24">
        <v>12100.0</v>
      </c>
      <c r="D10" s="24">
        <v>11900.0</v>
      </c>
      <c r="E10" s="24">
        <v>13700.0</v>
      </c>
      <c r="F10" s="24">
        <v>6500.0</v>
      </c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26</v>
      </c>
      <c r="B11" s="24">
        <v>7500.0</v>
      </c>
      <c r="C11" s="24">
        <v>12700.0</v>
      </c>
      <c r="D11" s="24">
        <v>9100.0</v>
      </c>
      <c r="E11" s="24">
        <v>9900.0</v>
      </c>
      <c r="F11" s="24">
        <v>6900.0</v>
      </c>
      <c r="G11" s="5"/>
      <c r="H11" s="2"/>
      <c r="I11" s="2"/>
      <c r="J11" s="2"/>
      <c r="K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28</v>
      </c>
      <c r="B12" s="24">
        <v>7200.0</v>
      </c>
      <c r="C12" s="24">
        <v>13300.0</v>
      </c>
      <c r="D12" s="24">
        <v>13700.0</v>
      </c>
      <c r="E12" s="24">
        <v>5700.0</v>
      </c>
      <c r="F12" s="24">
        <v>2300.0</v>
      </c>
      <c r="G12" s="5"/>
      <c r="H12" s="2"/>
      <c r="I12" s="2"/>
      <c r="J12" s="2"/>
      <c r="K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30</v>
      </c>
      <c r="B13" s="24">
        <v>7400.0</v>
      </c>
      <c r="C13" s="24">
        <v>1000.0</v>
      </c>
      <c r="D13" s="24">
        <v>9800.0</v>
      </c>
      <c r="E13" s="24">
        <v>17700.0</v>
      </c>
      <c r="F13" s="24">
        <v>19600.0</v>
      </c>
      <c r="G13" s="5"/>
      <c r="H13" s="2"/>
      <c r="I13" s="2"/>
      <c r="J13" s="2"/>
      <c r="K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32</v>
      </c>
      <c r="B14" s="24">
        <v>14600.0</v>
      </c>
      <c r="C14" s="24">
        <v>15200.0</v>
      </c>
      <c r="D14" s="24">
        <v>1700.0</v>
      </c>
      <c r="E14" s="24">
        <v>11300.0</v>
      </c>
      <c r="F14" s="24">
        <v>13600.0</v>
      </c>
      <c r="G14" s="5"/>
      <c r="H14" s="2"/>
      <c r="I14" s="2"/>
      <c r="J14" s="2"/>
      <c r="K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34</v>
      </c>
      <c r="B15" s="24">
        <v>6000.0</v>
      </c>
      <c r="C15" s="24">
        <v>1300.0</v>
      </c>
      <c r="D15" s="24">
        <v>17400.0</v>
      </c>
      <c r="E15" s="24">
        <v>1800.0</v>
      </c>
      <c r="F15" s="24">
        <v>17600.0</v>
      </c>
      <c r="G15" s="5"/>
      <c r="H15" s="2"/>
      <c r="I15" s="2"/>
      <c r="J15" s="2"/>
      <c r="K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36</v>
      </c>
      <c r="B16" s="24">
        <v>15700.0</v>
      </c>
      <c r="C16" s="24">
        <v>5000.0</v>
      </c>
      <c r="D16" s="24">
        <v>11500.0</v>
      </c>
      <c r="E16" s="24">
        <v>11800.0</v>
      </c>
      <c r="F16" s="24">
        <v>15400.0</v>
      </c>
      <c r="G16" s="5"/>
      <c r="H16" s="2"/>
      <c r="I16" s="2"/>
      <c r="J16" s="2"/>
      <c r="K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38</v>
      </c>
      <c r="B17" s="24">
        <v>14200.0</v>
      </c>
      <c r="C17" s="24">
        <v>2900.0</v>
      </c>
      <c r="D17" s="24">
        <v>10800.0</v>
      </c>
      <c r="E17" s="24">
        <v>14900.0</v>
      </c>
      <c r="F17" s="24">
        <v>16000.0</v>
      </c>
      <c r="G17" s="5"/>
      <c r="H17" s="2"/>
      <c r="I17" s="2"/>
      <c r="J17" s="2"/>
      <c r="K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40</v>
      </c>
      <c r="B18" s="24">
        <v>13300.0</v>
      </c>
      <c r="C18" s="24">
        <v>13700.0</v>
      </c>
      <c r="D18" s="24">
        <v>19100.0</v>
      </c>
      <c r="E18" s="24">
        <v>7100.0</v>
      </c>
      <c r="F18" s="24">
        <v>16100.0</v>
      </c>
      <c r="G18" s="5"/>
      <c r="H18" s="2"/>
      <c r="I18" s="2"/>
      <c r="J18" s="2"/>
      <c r="K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42</v>
      </c>
      <c r="B19" s="24">
        <v>7800.0</v>
      </c>
      <c r="C19" s="24">
        <v>1000.0</v>
      </c>
      <c r="D19" s="24">
        <v>5300.0</v>
      </c>
      <c r="E19" s="24">
        <v>2400.0</v>
      </c>
      <c r="F19" s="24">
        <v>9600.0</v>
      </c>
      <c r="G19" s="5"/>
      <c r="H19" s="2"/>
      <c r="I19" s="2"/>
      <c r="J19" s="2"/>
      <c r="K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44</v>
      </c>
      <c r="B20" s="24">
        <v>7900.0</v>
      </c>
      <c r="C20" s="24">
        <v>9900.0</v>
      </c>
      <c r="D20" s="24">
        <v>16600.0</v>
      </c>
      <c r="E20" s="24">
        <v>4600.0</v>
      </c>
      <c r="F20" s="24">
        <v>3100.0</v>
      </c>
      <c r="G20" s="5"/>
      <c r="H20" s="2"/>
      <c r="I20" s="2"/>
      <c r="J20" s="2"/>
      <c r="K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46</v>
      </c>
      <c r="B21" s="24">
        <v>17700.0</v>
      </c>
      <c r="C21" s="24">
        <v>7200.0</v>
      </c>
      <c r="D21" s="24">
        <v>14300.0</v>
      </c>
      <c r="E21" s="24">
        <v>7400.0</v>
      </c>
      <c r="F21" s="24">
        <v>15200.0</v>
      </c>
      <c r="G21" s="5"/>
      <c r="H21" s="2"/>
      <c r="I21" s="2"/>
      <c r="J21" s="2"/>
      <c r="K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48</v>
      </c>
      <c r="B22" s="24">
        <v>3000.0</v>
      </c>
      <c r="C22" s="24">
        <v>4400.0</v>
      </c>
      <c r="D22" s="24">
        <v>9700.0</v>
      </c>
      <c r="E22" s="24">
        <v>2800.0</v>
      </c>
      <c r="F22" s="24">
        <v>5200.0</v>
      </c>
      <c r="G22" s="5"/>
      <c r="H22" s="2"/>
      <c r="I22" s="2"/>
      <c r="J22" s="2"/>
      <c r="K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49</v>
      </c>
      <c r="B23" s="24">
        <v>9600.0</v>
      </c>
      <c r="C23" s="24">
        <v>6400.0</v>
      </c>
      <c r="D23" s="24">
        <v>8200.0</v>
      </c>
      <c r="E23" s="24">
        <v>17800.0</v>
      </c>
      <c r="F23" s="24">
        <v>9200.0</v>
      </c>
      <c r="G23" s="5"/>
      <c r="H23" s="2"/>
      <c r="I23" s="2"/>
      <c r="J23" s="2"/>
      <c r="K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51</v>
      </c>
      <c r="B24" s="24">
        <v>7200.0</v>
      </c>
      <c r="C24" s="24">
        <v>17900.0</v>
      </c>
      <c r="D24" s="24">
        <v>11900.0</v>
      </c>
      <c r="E24" s="24">
        <v>2500.0</v>
      </c>
      <c r="F24" s="24">
        <v>11500.0</v>
      </c>
      <c r="G24" s="5"/>
      <c r="H24" s="2"/>
      <c r="I24" s="2"/>
      <c r="J24" s="2"/>
      <c r="K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53</v>
      </c>
      <c r="B25" s="24">
        <v>7200.0</v>
      </c>
      <c r="C25" s="24">
        <v>19200.0</v>
      </c>
      <c r="D25" s="24">
        <v>17100.0</v>
      </c>
      <c r="E25" s="24">
        <v>12800.0</v>
      </c>
      <c r="F25" s="24">
        <v>17200.0</v>
      </c>
      <c r="G25" s="5"/>
      <c r="H25" s="2"/>
      <c r="I25" s="2"/>
      <c r="J25" s="2"/>
      <c r="K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55</v>
      </c>
      <c r="B26" s="24">
        <v>8100.0</v>
      </c>
      <c r="C26" s="24">
        <v>1900.0</v>
      </c>
      <c r="D26" s="24">
        <v>13000.0</v>
      </c>
      <c r="E26" s="24">
        <v>4600.0</v>
      </c>
      <c r="F26" s="24">
        <v>14300.0</v>
      </c>
      <c r="G26" s="5"/>
      <c r="H26" s="2"/>
      <c r="I26" s="2"/>
      <c r="J26" s="2"/>
      <c r="K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57</v>
      </c>
      <c r="B27" s="24">
        <v>11100.0</v>
      </c>
      <c r="C27" s="24">
        <v>15500.0</v>
      </c>
      <c r="D27" s="24">
        <v>19600.0</v>
      </c>
      <c r="E27" s="24">
        <v>4800.0</v>
      </c>
      <c r="F27" s="24">
        <v>1000.0</v>
      </c>
      <c r="G27" s="5"/>
      <c r="H27" s="2"/>
      <c r="I27" s="2"/>
      <c r="J27" s="2"/>
      <c r="K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59</v>
      </c>
      <c r="B28" s="24">
        <v>19500.0</v>
      </c>
      <c r="C28" s="24">
        <v>2800.0</v>
      </c>
      <c r="D28" s="24">
        <v>19200.0</v>
      </c>
      <c r="E28" s="24">
        <v>4300.0</v>
      </c>
      <c r="F28" s="24">
        <v>11600.0</v>
      </c>
      <c r="G28" s="5"/>
      <c r="H28" s="2"/>
      <c r="I28" s="2"/>
      <c r="J28" s="2"/>
      <c r="K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61</v>
      </c>
      <c r="B29" s="24">
        <v>9100.0</v>
      </c>
      <c r="C29" s="24">
        <v>19500.0</v>
      </c>
      <c r="D29" s="24">
        <v>8500.0</v>
      </c>
      <c r="E29" s="24">
        <v>11300.0</v>
      </c>
      <c r="F29" s="24">
        <v>9700.0</v>
      </c>
      <c r="G29" s="5"/>
      <c r="H29" s="2"/>
      <c r="I29" s="2"/>
      <c r="J29" s="2"/>
      <c r="K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63</v>
      </c>
      <c r="B30" s="24">
        <v>18600.0</v>
      </c>
      <c r="C30" s="24">
        <v>19400.0</v>
      </c>
      <c r="D30" s="24">
        <v>14000.0</v>
      </c>
      <c r="E30" s="24">
        <v>8100.0</v>
      </c>
      <c r="F30" s="24">
        <v>5000.0</v>
      </c>
      <c r="G30" s="5"/>
      <c r="H30" s="2"/>
      <c r="I30" s="2"/>
      <c r="J30" s="2"/>
      <c r="K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65</v>
      </c>
      <c r="B31" s="24">
        <v>19300.0</v>
      </c>
      <c r="C31" s="24">
        <v>19700.0</v>
      </c>
      <c r="D31" s="24">
        <v>10000.0</v>
      </c>
      <c r="E31" s="24">
        <v>10400.0</v>
      </c>
      <c r="F31" s="24">
        <v>8600.0</v>
      </c>
      <c r="G31" s="5"/>
      <c r="H31" s="2"/>
      <c r="I31" s="2"/>
      <c r="J31" s="2"/>
      <c r="K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67</v>
      </c>
      <c r="B32" s="24">
        <v>14000.0</v>
      </c>
      <c r="C32" s="24">
        <v>4500.0</v>
      </c>
      <c r="D32" s="24">
        <v>14500.0</v>
      </c>
      <c r="E32" s="24">
        <v>3800.0</v>
      </c>
      <c r="F32" s="24">
        <v>8800.0</v>
      </c>
      <c r="G32" s="5"/>
      <c r="H32" s="2"/>
      <c r="I32" s="2"/>
      <c r="J32" s="2"/>
      <c r="K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69</v>
      </c>
      <c r="B33" s="24">
        <v>3900.0</v>
      </c>
      <c r="C33" s="24">
        <v>13800.0</v>
      </c>
      <c r="D33" s="24">
        <v>2000.0</v>
      </c>
      <c r="E33" s="24">
        <v>2600.0</v>
      </c>
      <c r="F33" s="24">
        <v>16600.0</v>
      </c>
      <c r="G33" s="5"/>
      <c r="H33" s="2"/>
      <c r="I33" s="2"/>
      <c r="J33" s="2"/>
      <c r="K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71</v>
      </c>
      <c r="B34" s="24">
        <v>19400.0</v>
      </c>
      <c r="C34" s="24">
        <v>8400.0</v>
      </c>
      <c r="D34" s="24">
        <v>16600.0</v>
      </c>
      <c r="E34" s="24">
        <v>6300.0</v>
      </c>
      <c r="F34" s="24">
        <v>17100.0</v>
      </c>
      <c r="G34" s="5"/>
      <c r="H34" s="2"/>
      <c r="I34" s="2"/>
      <c r="J34" s="2"/>
      <c r="K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73</v>
      </c>
      <c r="B35" s="24">
        <v>6700.0</v>
      </c>
      <c r="C35" s="24">
        <v>8700.0</v>
      </c>
      <c r="D35" s="24">
        <v>10400.0</v>
      </c>
      <c r="E35" s="24">
        <v>8600.0</v>
      </c>
      <c r="F35" s="24">
        <v>15100.0</v>
      </c>
      <c r="G35" s="5"/>
      <c r="H35" s="2"/>
      <c r="I35" s="2"/>
      <c r="J35" s="2"/>
      <c r="K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75</v>
      </c>
      <c r="B36" s="24">
        <v>15900.0</v>
      </c>
      <c r="C36" s="24">
        <v>9200.0</v>
      </c>
      <c r="D36" s="24">
        <v>10900.0</v>
      </c>
      <c r="E36" s="24">
        <v>4600.0</v>
      </c>
      <c r="F36" s="24">
        <v>1000.0</v>
      </c>
      <c r="G36" s="5"/>
      <c r="H36" s="2"/>
      <c r="I36" s="2"/>
      <c r="J36" s="2"/>
      <c r="K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77</v>
      </c>
      <c r="B37" s="24">
        <v>7500.0</v>
      </c>
      <c r="C37" s="24">
        <v>10800.0</v>
      </c>
      <c r="D37" s="24">
        <v>2800.0</v>
      </c>
      <c r="E37" s="24">
        <v>17100.0</v>
      </c>
      <c r="F37" s="24">
        <v>15700.0</v>
      </c>
      <c r="G37" s="5"/>
      <c r="H37" s="2"/>
      <c r="I37" s="2"/>
      <c r="J37" s="2"/>
      <c r="K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79</v>
      </c>
      <c r="B38" s="24">
        <v>9700.0</v>
      </c>
      <c r="C38" s="24">
        <v>5200.0</v>
      </c>
      <c r="D38" s="24">
        <v>13300.0</v>
      </c>
      <c r="E38" s="24">
        <v>10600.0</v>
      </c>
      <c r="F38" s="24">
        <v>8300.0</v>
      </c>
      <c r="G38" s="5"/>
      <c r="H38" s="2"/>
      <c r="I38" s="2"/>
      <c r="J38" s="2"/>
      <c r="K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81</v>
      </c>
      <c r="B39" s="24">
        <v>14600.0</v>
      </c>
      <c r="C39" s="24">
        <v>18700.0</v>
      </c>
      <c r="D39" s="24">
        <v>7700.0</v>
      </c>
      <c r="E39" s="24">
        <v>5000.0</v>
      </c>
      <c r="F39" s="24">
        <v>10300.0</v>
      </c>
      <c r="G39" s="5"/>
      <c r="H39" s="2"/>
      <c r="I39" s="2"/>
      <c r="J39" s="2"/>
      <c r="K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83</v>
      </c>
      <c r="B40" s="24">
        <v>3800.0</v>
      </c>
      <c r="C40" s="24">
        <v>12400.0</v>
      </c>
      <c r="D40" s="24">
        <v>13500.0</v>
      </c>
      <c r="E40" s="24">
        <v>15800.0</v>
      </c>
      <c r="F40" s="24">
        <v>1000.0</v>
      </c>
      <c r="G40" s="5"/>
      <c r="H40" s="2"/>
      <c r="I40" s="2"/>
      <c r="J40" s="2"/>
      <c r="K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85</v>
      </c>
      <c r="B41" s="24">
        <v>5400.0</v>
      </c>
      <c r="C41" s="24">
        <v>2000.0</v>
      </c>
      <c r="D41" s="24">
        <v>11000.0</v>
      </c>
      <c r="E41" s="24">
        <v>19000.0</v>
      </c>
      <c r="F41" s="24">
        <v>7000.0</v>
      </c>
      <c r="G41" s="5"/>
      <c r="H41" s="2"/>
      <c r="I41" s="2"/>
      <c r="J41" s="2"/>
      <c r="K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87</v>
      </c>
      <c r="B42" s="24">
        <v>8400.0</v>
      </c>
      <c r="C42" s="24">
        <v>6300.0</v>
      </c>
      <c r="D42" s="24">
        <v>4000.0</v>
      </c>
      <c r="E42" s="24">
        <v>11600.0</v>
      </c>
      <c r="F42" s="24">
        <v>19100.0</v>
      </c>
      <c r="G42" s="5"/>
      <c r="H42" s="2"/>
      <c r="I42" s="2"/>
      <c r="J42" s="2"/>
      <c r="K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89</v>
      </c>
      <c r="B43" s="24">
        <v>7800.0</v>
      </c>
      <c r="C43" s="24">
        <v>8700.0</v>
      </c>
      <c r="D43" s="24">
        <v>17100.0</v>
      </c>
      <c r="E43" s="24">
        <v>10900.0</v>
      </c>
      <c r="F43" s="24">
        <v>14900.0</v>
      </c>
      <c r="G43" s="5"/>
      <c r="H43" s="2"/>
      <c r="I43" s="2"/>
      <c r="J43" s="2"/>
      <c r="K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91</v>
      </c>
      <c r="B44" s="24">
        <v>12500.0</v>
      </c>
      <c r="C44" s="24">
        <v>16800.0</v>
      </c>
      <c r="D44" s="24">
        <v>13400.0</v>
      </c>
      <c r="E44" s="24">
        <v>5000.0</v>
      </c>
      <c r="F44" s="24">
        <v>4500.0</v>
      </c>
      <c r="G44" s="5"/>
      <c r="H44" s="2"/>
      <c r="I44" s="2"/>
      <c r="J44" s="2"/>
      <c r="K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93</v>
      </c>
      <c r="B45" s="24">
        <v>12500.0</v>
      </c>
      <c r="C45" s="24">
        <v>6600.0</v>
      </c>
      <c r="D45" s="24">
        <v>6100.0</v>
      </c>
      <c r="E45" s="24">
        <v>17800.0</v>
      </c>
      <c r="F45" s="24">
        <v>19400.0</v>
      </c>
      <c r="G45" s="5"/>
      <c r="H45" s="2"/>
      <c r="I45" s="2"/>
      <c r="J45" s="2"/>
      <c r="K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95</v>
      </c>
      <c r="B46" s="24">
        <v>16500.0</v>
      </c>
      <c r="C46" s="24">
        <v>14200.0</v>
      </c>
      <c r="D46" s="24">
        <v>7300.0</v>
      </c>
      <c r="E46" s="24">
        <v>10900.0</v>
      </c>
      <c r="F46" s="24">
        <v>14900.0</v>
      </c>
      <c r="G46" s="5"/>
      <c r="H46" s="2"/>
      <c r="I46" s="2"/>
      <c r="J46" s="2"/>
      <c r="K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97</v>
      </c>
      <c r="B47" s="24">
        <v>6100.0</v>
      </c>
      <c r="C47" s="24">
        <v>14100.0</v>
      </c>
      <c r="D47" s="24">
        <v>4700.0</v>
      </c>
      <c r="E47" s="24">
        <v>16900.0</v>
      </c>
      <c r="F47" s="24">
        <v>19800.0</v>
      </c>
      <c r="G47" s="5"/>
      <c r="H47" s="2"/>
      <c r="I47" s="2"/>
      <c r="J47" s="2"/>
      <c r="K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99</v>
      </c>
      <c r="B48" s="24">
        <v>15200.0</v>
      </c>
      <c r="C48" s="24">
        <v>7200.0</v>
      </c>
      <c r="D48" s="24">
        <v>11600.0</v>
      </c>
      <c r="E48" s="24">
        <v>8800.0</v>
      </c>
      <c r="F48" s="24">
        <v>13500.0</v>
      </c>
      <c r="G48" s="5"/>
      <c r="H48" s="2"/>
      <c r="I48" s="2"/>
      <c r="J48" s="2"/>
      <c r="K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101</v>
      </c>
      <c r="B49" s="24">
        <v>5700.0</v>
      </c>
      <c r="C49" s="24">
        <v>11200.0</v>
      </c>
      <c r="D49" s="24">
        <v>3600.0</v>
      </c>
      <c r="E49" s="24">
        <v>5600.0</v>
      </c>
      <c r="F49" s="24">
        <v>6100.0</v>
      </c>
      <c r="G49" s="5"/>
      <c r="H49" s="2"/>
      <c r="I49" s="2"/>
      <c r="J49" s="2"/>
      <c r="K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103</v>
      </c>
      <c r="B50" s="24">
        <v>18200.0</v>
      </c>
      <c r="C50" s="24">
        <v>7900.0</v>
      </c>
      <c r="D50" s="24">
        <v>4800.0</v>
      </c>
      <c r="E50" s="24">
        <v>4200.0</v>
      </c>
      <c r="F50" s="24">
        <v>14500.0</v>
      </c>
      <c r="G50" s="5"/>
      <c r="H50" s="2"/>
      <c r="I50" s="2"/>
      <c r="J50" s="2"/>
      <c r="K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105</v>
      </c>
      <c r="B51" s="24">
        <v>7600.0</v>
      </c>
      <c r="C51" s="24">
        <v>16100.0</v>
      </c>
      <c r="D51" s="24">
        <v>8200.0</v>
      </c>
      <c r="E51" s="24">
        <v>19200.0</v>
      </c>
      <c r="F51" s="24">
        <v>2900.0</v>
      </c>
      <c r="G51" s="5"/>
      <c r="H51" s="2"/>
      <c r="I51" s="2"/>
      <c r="J51" s="2"/>
      <c r="K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107</v>
      </c>
      <c r="B52" s="24">
        <v>3000.0</v>
      </c>
      <c r="C52" s="24">
        <v>19800.0</v>
      </c>
      <c r="D52" s="24">
        <v>15500.0</v>
      </c>
      <c r="E52" s="24">
        <v>7000.0</v>
      </c>
      <c r="F52" s="24">
        <v>11200.0</v>
      </c>
      <c r="G52" s="5"/>
      <c r="H52" s="2"/>
      <c r="I52" s="2"/>
      <c r="J52" s="2"/>
      <c r="K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109</v>
      </c>
      <c r="B53" s="24">
        <v>10000.0</v>
      </c>
      <c r="C53" s="24">
        <v>10500.0</v>
      </c>
      <c r="D53" s="24">
        <v>16600.0</v>
      </c>
      <c r="E53" s="24">
        <v>2100.0</v>
      </c>
      <c r="F53" s="24">
        <v>3600.0</v>
      </c>
      <c r="G53" s="5"/>
      <c r="H53" s="2"/>
      <c r="I53" s="2"/>
      <c r="J53" s="2"/>
      <c r="K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111</v>
      </c>
      <c r="B54" s="24">
        <v>10100.0</v>
      </c>
      <c r="C54" s="24">
        <v>13700.0</v>
      </c>
      <c r="D54" s="24">
        <v>5700.0</v>
      </c>
      <c r="E54" s="24">
        <v>18800.0</v>
      </c>
      <c r="F54" s="24">
        <v>10200.0</v>
      </c>
      <c r="G54" s="5"/>
      <c r="H54" s="2"/>
      <c r="I54" s="2"/>
      <c r="J54" s="2"/>
      <c r="K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113</v>
      </c>
      <c r="B55" s="24">
        <v>9200.0</v>
      </c>
      <c r="C55" s="24">
        <v>1600.0</v>
      </c>
      <c r="D55" s="24">
        <v>5000.0</v>
      </c>
      <c r="E55" s="24">
        <v>14400.0</v>
      </c>
      <c r="F55" s="24">
        <v>15100.0</v>
      </c>
      <c r="G55" s="5"/>
      <c r="H55" s="2"/>
      <c r="I55" s="2"/>
      <c r="J55" s="2"/>
      <c r="K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115</v>
      </c>
      <c r="B56" s="24">
        <v>8400.0</v>
      </c>
      <c r="C56" s="24">
        <v>16100.0</v>
      </c>
      <c r="D56" s="24">
        <v>11500.0</v>
      </c>
      <c r="E56" s="24">
        <v>7700.0</v>
      </c>
      <c r="F56" s="24">
        <v>17400.0</v>
      </c>
      <c r="G56" s="5"/>
      <c r="H56" s="2"/>
      <c r="I56" s="2"/>
      <c r="J56" s="2"/>
      <c r="K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117</v>
      </c>
      <c r="B57" s="24">
        <v>9900.0</v>
      </c>
      <c r="C57" s="24">
        <v>6800.0</v>
      </c>
      <c r="D57" s="24">
        <v>1300.0</v>
      </c>
      <c r="E57" s="24">
        <v>13700.0</v>
      </c>
      <c r="F57" s="24">
        <v>7500.0</v>
      </c>
      <c r="G57" s="5"/>
      <c r="H57" s="2"/>
      <c r="I57" s="2"/>
      <c r="J57" s="2"/>
      <c r="K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119</v>
      </c>
      <c r="B58" s="24">
        <v>2200.0</v>
      </c>
      <c r="C58" s="24">
        <v>7200.0</v>
      </c>
      <c r="D58" s="24">
        <v>11100.0</v>
      </c>
      <c r="E58" s="24">
        <v>7500.0</v>
      </c>
      <c r="F58" s="24">
        <v>6200.0</v>
      </c>
      <c r="G58" s="5"/>
      <c r="H58" s="2"/>
      <c r="I58" s="2"/>
      <c r="J58" s="2"/>
      <c r="K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121</v>
      </c>
      <c r="B59" s="24">
        <v>5000.0</v>
      </c>
      <c r="C59" s="24">
        <v>15200.0</v>
      </c>
      <c r="D59" s="24">
        <v>6800.0</v>
      </c>
      <c r="E59" s="24">
        <v>7700.0</v>
      </c>
      <c r="F59" s="24">
        <v>10300.0</v>
      </c>
      <c r="G59" s="5"/>
      <c r="H59" s="2"/>
      <c r="I59" s="2"/>
      <c r="J59" s="2"/>
      <c r="K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123</v>
      </c>
      <c r="B60" s="24">
        <v>6100.0</v>
      </c>
      <c r="C60" s="24">
        <v>13200.0</v>
      </c>
      <c r="D60" s="24">
        <v>6200.0</v>
      </c>
      <c r="E60" s="24">
        <v>9400.0</v>
      </c>
      <c r="F60" s="24">
        <v>5000.0</v>
      </c>
      <c r="G60" s="5"/>
      <c r="H60" s="2"/>
      <c r="I60" s="2"/>
      <c r="J60" s="2"/>
      <c r="K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125</v>
      </c>
      <c r="B61" s="24">
        <v>13400.0</v>
      </c>
      <c r="C61" s="24">
        <v>5500.0</v>
      </c>
      <c r="D61" s="24">
        <v>16800.0</v>
      </c>
      <c r="E61" s="24">
        <v>19300.0</v>
      </c>
      <c r="F61" s="24">
        <v>6000.0</v>
      </c>
      <c r="G61" s="5"/>
      <c r="H61" s="2"/>
      <c r="I61" s="2"/>
      <c r="J61" s="2"/>
      <c r="K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127</v>
      </c>
      <c r="B62" s="24">
        <v>6800.0</v>
      </c>
      <c r="C62" s="24">
        <v>19100.0</v>
      </c>
      <c r="D62" s="24">
        <v>7200.0</v>
      </c>
      <c r="E62" s="24">
        <v>12500.0</v>
      </c>
      <c r="F62" s="24">
        <v>17000.0</v>
      </c>
      <c r="G62" s="5"/>
      <c r="H62" s="2"/>
      <c r="I62" s="2"/>
      <c r="J62" s="2"/>
      <c r="K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129</v>
      </c>
      <c r="B63" s="24">
        <v>17300.0</v>
      </c>
      <c r="C63" s="24">
        <v>2100.0</v>
      </c>
      <c r="D63" s="24">
        <v>5900.0</v>
      </c>
      <c r="E63" s="24">
        <v>3300.0</v>
      </c>
      <c r="F63" s="24">
        <v>5200.0</v>
      </c>
      <c r="G63" s="5"/>
      <c r="H63" s="2"/>
      <c r="I63" s="2"/>
      <c r="J63" s="2"/>
      <c r="K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131</v>
      </c>
      <c r="B64" s="24">
        <v>10900.0</v>
      </c>
      <c r="C64" s="24">
        <v>15100.0</v>
      </c>
      <c r="D64" s="24">
        <v>10600.0</v>
      </c>
      <c r="E64" s="24">
        <v>19900.0</v>
      </c>
      <c r="F64" s="24">
        <v>4200.0</v>
      </c>
      <c r="G64" s="5"/>
      <c r="H64" s="2"/>
      <c r="I64" s="2"/>
      <c r="J64" s="2"/>
      <c r="K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133</v>
      </c>
      <c r="B65" s="24">
        <v>16500.0</v>
      </c>
      <c r="C65" s="24">
        <v>14000.0</v>
      </c>
      <c r="D65" s="24">
        <v>18000.0</v>
      </c>
      <c r="E65" s="24">
        <v>6000.0</v>
      </c>
      <c r="F65" s="24">
        <v>13100.0</v>
      </c>
      <c r="G65" s="5"/>
      <c r="H65" s="2"/>
      <c r="I65" s="2"/>
      <c r="J65" s="2"/>
      <c r="K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135</v>
      </c>
      <c r="B66" s="24">
        <v>14700.0</v>
      </c>
      <c r="C66" s="24">
        <v>6100.0</v>
      </c>
      <c r="D66" s="24">
        <v>17700.0</v>
      </c>
      <c r="E66" s="24">
        <v>12100.0</v>
      </c>
      <c r="F66" s="24">
        <v>1300.0</v>
      </c>
      <c r="G66" s="5"/>
      <c r="H66" s="2"/>
      <c r="I66" s="2"/>
      <c r="J66" s="2"/>
      <c r="K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137</v>
      </c>
      <c r="B67" s="24">
        <v>12000.0</v>
      </c>
      <c r="C67" s="24">
        <v>2400.0</v>
      </c>
      <c r="D67" s="24">
        <v>1100.0</v>
      </c>
      <c r="E67" s="24">
        <v>3300.0</v>
      </c>
      <c r="F67" s="24">
        <v>15300.0</v>
      </c>
      <c r="G67" s="5"/>
      <c r="H67" s="2"/>
      <c r="I67" s="2"/>
      <c r="J67" s="2"/>
      <c r="K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139</v>
      </c>
      <c r="B68" s="24">
        <v>3700.0</v>
      </c>
      <c r="C68" s="24">
        <v>8000.0</v>
      </c>
      <c r="D68" s="24">
        <v>19600.0</v>
      </c>
      <c r="E68" s="24">
        <v>8100.0</v>
      </c>
      <c r="F68" s="24">
        <v>6800.0</v>
      </c>
      <c r="G68" s="5"/>
      <c r="H68" s="2"/>
      <c r="I68" s="2"/>
      <c r="J68" s="2"/>
      <c r="K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141</v>
      </c>
      <c r="B69" s="24">
        <v>4300.0</v>
      </c>
      <c r="C69" s="24">
        <v>17500.0</v>
      </c>
      <c r="D69" s="24">
        <v>1500.0</v>
      </c>
      <c r="E69" s="24">
        <v>6000.0</v>
      </c>
      <c r="F69" s="24">
        <v>12700.0</v>
      </c>
      <c r="G69" s="5"/>
      <c r="H69" s="2"/>
      <c r="I69" s="2"/>
      <c r="J69" s="2"/>
      <c r="K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143</v>
      </c>
      <c r="B70" s="24">
        <v>16900.0</v>
      </c>
      <c r="C70" s="24">
        <v>10000.0</v>
      </c>
      <c r="D70" s="24">
        <v>16500.0</v>
      </c>
      <c r="E70" s="24">
        <v>18800.0</v>
      </c>
      <c r="F70" s="24">
        <v>5600.0</v>
      </c>
      <c r="G70" s="5"/>
      <c r="H70" s="2"/>
      <c r="I70" s="2"/>
      <c r="J70" s="2"/>
      <c r="K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145</v>
      </c>
      <c r="B71" s="24">
        <v>14900.0</v>
      </c>
      <c r="C71" s="24">
        <v>4500.0</v>
      </c>
      <c r="D71" s="24">
        <v>17100.0</v>
      </c>
      <c r="E71" s="24">
        <v>1700.0</v>
      </c>
      <c r="F71" s="24">
        <v>11100.0</v>
      </c>
      <c r="G71" s="5"/>
      <c r="H71" s="2"/>
      <c r="I71" s="2"/>
      <c r="J71" s="2"/>
      <c r="K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147</v>
      </c>
      <c r="B72" s="24">
        <v>19300.0</v>
      </c>
      <c r="C72" s="24">
        <v>17500.0</v>
      </c>
      <c r="D72" s="24">
        <v>13500.0</v>
      </c>
      <c r="E72" s="24">
        <v>6700.0</v>
      </c>
      <c r="F72" s="24">
        <v>10200.0</v>
      </c>
      <c r="G72" s="5"/>
      <c r="H72" s="2"/>
      <c r="I72" s="2"/>
      <c r="J72" s="2"/>
      <c r="K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149</v>
      </c>
      <c r="B73" s="24">
        <v>11200.0</v>
      </c>
      <c r="C73" s="24">
        <v>8700.0</v>
      </c>
      <c r="D73" s="24">
        <v>10700.0</v>
      </c>
      <c r="E73" s="24">
        <v>14900.0</v>
      </c>
      <c r="F73" s="24">
        <v>8300.0</v>
      </c>
      <c r="G73" s="5"/>
      <c r="H73" s="2"/>
      <c r="I73" s="2"/>
      <c r="J73" s="2"/>
      <c r="K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151</v>
      </c>
      <c r="B74" s="24">
        <v>8100.0</v>
      </c>
      <c r="C74" s="24">
        <v>10500.0</v>
      </c>
      <c r="D74" s="24">
        <v>14600.0</v>
      </c>
      <c r="E74" s="24">
        <v>19200.0</v>
      </c>
      <c r="F74" s="24">
        <v>18100.0</v>
      </c>
      <c r="G74" s="5"/>
      <c r="H74" s="2"/>
      <c r="I74" s="2"/>
      <c r="J74" s="2"/>
      <c r="K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153</v>
      </c>
      <c r="B75" s="24">
        <v>9700.0</v>
      </c>
      <c r="C75" s="24">
        <v>15600.0</v>
      </c>
      <c r="D75" s="24">
        <v>17400.0</v>
      </c>
      <c r="E75" s="24">
        <v>10400.0</v>
      </c>
      <c r="F75" s="24">
        <v>6200.0</v>
      </c>
      <c r="G75" s="5"/>
      <c r="H75" s="2"/>
      <c r="I75" s="2"/>
      <c r="J75" s="2"/>
      <c r="K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155</v>
      </c>
      <c r="B76" s="24">
        <v>16900.0</v>
      </c>
      <c r="C76" s="24">
        <v>19700.0</v>
      </c>
      <c r="D76" s="24">
        <v>2200.0</v>
      </c>
      <c r="E76" s="24">
        <v>13700.0</v>
      </c>
      <c r="F76" s="24">
        <v>19700.0</v>
      </c>
      <c r="G76" s="5"/>
      <c r="H76" s="2"/>
      <c r="I76" s="2"/>
      <c r="J76" s="2"/>
      <c r="K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157</v>
      </c>
      <c r="B77" s="24">
        <v>5800.0</v>
      </c>
      <c r="C77" s="24">
        <v>10300.0</v>
      </c>
      <c r="D77" s="24">
        <v>19400.0</v>
      </c>
      <c r="E77" s="24">
        <v>3200.0</v>
      </c>
      <c r="F77" s="24">
        <v>17000.0</v>
      </c>
      <c r="G77" s="5"/>
      <c r="H77" s="2"/>
      <c r="I77" s="2"/>
      <c r="J77" s="2"/>
      <c r="K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159</v>
      </c>
      <c r="B78" s="24">
        <v>15200.0</v>
      </c>
      <c r="C78" s="24">
        <v>8300.0</v>
      </c>
      <c r="D78" s="24">
        <v>1600.0</v>
      </c>
      <c r="E78" s="24">
        <v>14200.0</v>
      </c>
      <c r="F78" s="24">
        <v>18700.0</v>
      </c>
      <c r="G78" s="5"/>
      <c r="H78" s="2"/>
      <c r="I78" s="2"/>
      <c r="J78" s="2"/>
      <c r="K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161</v>
      </c>
      <c r="B79" s="24">
        <v>2100.0</v>
      </c>
      <c r="C79" s="24">
        <v>19400.0</v>
      </c>
      <c r="D79" s="24">
        <v>2700.0</v>
      </c>
      <c r="E79" s="24">
        <v>1200.0</v>
      </c>
      <c r="F79" s="24">
        <v>8100.0</v>
      </c>
      <c r="G79" s="5"/>
      <c r="H79" s="2"/>
      <c r="I79" s="2"/>
      <c r="J79" s="2"/>
      <c r="K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163</v>
      </c>
      <c r="B80" s="24">
        <v>3100.0</v>
      </c>
      <c r="C80" s="24">
        <v>7400.0</v>
      </c>
      <c r="D80" s="24">
        <v>6800.0</v>
      </c>
      <c r="E80" s="24">
        <v>17600.0</v>
      </c>
      <c r="F80" s="24">
        <v>18300.0</v>
      </c>
      <c r="G80" s="5"/>
      <c r="H80" s="2"/>
      <c r="I80" s="2"/>
      <c r="J80" s="2"/>
      <c r="K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165</v>
      </c>
      <c r="B81" s="24">
        <v>1100.0</v>
      </c>
      <c r="C81" s="24">
        <v>16900.0</v>
      </c>
      <c r="D81" s="24">
        <v>16300.0</v>
      </c>
      <c r="E81" s="24">
        <v>4300.0</v>
      </c>
      <c r="F81" s="24">
        <v>8400.0</v>
      </c>
      <c r="G81" s="5"/>
      <c r="H81" s="2"/>
      <c r="I81" s="2"/>
      <c r="J81" s="2"/>
      <c r="K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167</v>
      </c>
      <c r="B82" s="24">
        <v>16100.0</v>
      </c>
      <c r="C82" s="24">
        <v>11800.0</v>
      </c>
      <c r="D82" s="24">
        <v>3100.0</v>
      </c>
      <c r="E82" s="24">
        <v>3400.0</v>
      </c>
      <c r="F82" s="24">
        <v>8500.0</v>
      </c>
      <c r="G82" s="5"/>
      <c r="H82" s="2"/>
      <c r="I82" s="2"/>
      <c r="J82" s="2"/>
      <c r="K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169</v>
      </c>
      <c r="B83" s="24">
        <v>16200.0</v>
      </c>
      <c r="C83" s="24">
        <v>9500.0</v>
      </c>
      <c r="D83" s="24">
        <v>7500.0</v>
      </c>
      <c r="E83" s="24">
        <v>11500.0</v>
      </c>
      <c r="F83" s="24">
        <v>12700.0</v>
      </c>
      <c r="G83" s="5"/>
      <c r="H83" s="2"/>
      <c r="I83" s="2"/>
      <c r="J83" s="2"/>
      <c r="K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171</v>
      </c>
      <c r="B84" s="24">
        <v>7600.0</v>
      </c>
      <c r="C84" s="24">
        <v>15200.0</v>
      </c>
      <c r="D84" s="24">
        <v>3500.0</v>
      </c>
      <c r="E84" s="24">
        <v>8700.0</v>
      </c>
      <c r="F84" s="24">
        <v>7100.0</v>
      </c>
      <c r="G84" s="5"/>
      <c r="H84" s="2"/>
      <c r="I84" s="2"/>
      <c r="J84" s="2"/>
      <c r="K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173</v>
      </c>
      <c r="B85" s="24">
        <v>14600.0</v>
      </c>
      <c r="C85" s="24">
        <v>2600.0</v>
      </c>
      <c r="D85" s="24">
        <v>15000.0</v>
      </c>
      <c r="E85" s="24">
        <v>10900.0</v>
      </c>
      <c r="F85" s="24">
        <v>11700.0</v>
      </c>
      <c r="G85" s="5"/>
      <c r="H85" s="2"/>
      <c r="I85" s="2"/>
      <c r="J85" s="2"/>
      <c r="K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175</v>
      </c>
      <c r="B86" s="24">
        <v>9400.0</v>
      </c>
      <c r="C86" s="24">
        <v>13500.0</v>
      </c>
      <c r="D86" s="24">
        <v>16800.0</v>
      </c>
      <c r="E86" s="24">
        <v>18800.0</v>
      </c>
      <c r="F86" s="24">
        <v>3400.0</v>
      </c>
      <c r="G86" s="5"/>
      <c r="H86" s="2"/>
      <c r="I86" s="2"/>
      <c r="J86" s="2"/>
      <c r="K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177</v>
      </c>
      <c r="B87" s="24">
        <v>11900.0</v>
      </c>
      <c r="C87" s="24">
        <v>12500.0</v>
      </c>
      <c r="D87" s="24">
        <v>16100.0</v>
      </c>
      <c r="E87" s="24">
        <v>18300.0</v>
      </c>
      <c r="F87" s="24">
        <v>4400.0</v>
      </c>
      <c r="G87" s="5"/>
      <c r="H87" s="2"/>
      <c r="I87" s="2"/>
      <c r="J87" s="2"/>
      <c r="K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179</v>
      </c>
      <c r="B88" s="24">
        <v>7200.0</v>
      </c>
      <c r="C88" s="24">
        <v>15600.0</v>
      </c>
      <c r="D88" s="24">
        <v>5000.0</v>
      </c>
      <c r="E88" s="24">
        <v>11200.0</v>
      </c>
      <c r="F88" s="24">
        <v>19800.0</v>
      </c>
      <c r="G88" s="5"/>
      <c r="H88" s="2"/>
      <c r="I88" s="2"/>
      <c r="J88" s="2"/>
      <c r="K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181</v>
      </c>
      <c r="B89" s="24">
        <v>12100.0</v>
      </c>
      <c r="C89" s="24">
        <v>15100.0</v>
      </c>
      <c r="D89" s="24">
        <v>2100.0</v>
      </c>
      <c r="E89" s="24">
        <v>5800.0</v>
      </c>
      <c r="F89" s="24">
        <v>7200.0</v>
      </c>
      <c r="G89" s="5"/>
      <c r="H89" s="2"/>
      <c r="I89" s="2"/>
      <c r="J89" s="2"/>
      <c r="K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183</v>
      </c>
      <c r="B90" s="24">
        <v>17100.0</v>
      </c>
      <c r="C90" s="24">
        <v>14800.0</v>
      </c>
      <c r="D90" s="24">
        <v>6000.0</v>
      </c>
      <c r="E90" s="24">
        <v>4400.0</v>
      </c>
      <c r="F90" s="24">
        <v>1000.0</v>
      </c>
      <c r="G90" s="5"/>
      <c r="H90" s="2"/>
      <c r="I90" s="2"/>
      <c r="J90" s="2"/>
      <c r="K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185</v>
      </c>
      <c r="B91" s="24">
        <v>17000.0</v>
      </c>
      <c r="C91" s="24">
        <v>18100.0</v>
      </c>
      <c r="D91" s="24">
        <v>8300.0</v>
      </c>
      <c r="E91" s="24">
        <v>6200.0</v>
      </c>
      <c r="F91" s="24">
        <v>9600.0</v>
      </c>
      <c r="G91" s="5"/>
      <c r="H91" s="2"/>
      <c r="I91" s="2"/>
      <c r="J91" s="2"/>
      <c r="K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187</v>
      </c>
      <c r="B92" s="24">
        <v>18100.0</v>
      </c>
      <c r="C92" s="24">
        <v>14200.0</v>
      </c>
      <c r="D92" s="24">
        <v>11100.0</v>
      </c>
      <c r="E92" s="24">
        <v>20000.0</v>
      </c>
      <c r="F92" s="24">
        <v>7000.0</v>
      </c>
      <c r="G92" s="5"/>
      <c r="H92" s="2"/>
      <c r="I92" s="2"/>
      <c r="J92" s="2"/>
      <c r="K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189</v>
      </c>
      <c r="B93" s="24">
        <v>12900.0</v>
      </c>
      <c r="C93" s="24">
        <v>18600.0</v>
      </c>
      <c r="D93" s="24">
        <v>8000.0</v>
      </c>
      <c r="E93" s="24">
        <v>7800.0</v>
      </c>
      <c r="F93" s="24">
        <v>12000.0</v>
      </c>
      <c r="G93" s="5"/>
      <c r="H93" s="2"/>
      <c r="I93" s="2"/>
      <c r="J93" s="2"/>
      <c r="K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191</v>
      </c>
      <c r="B94" s="24">
        <v>14900.0</v>
      </c>
      <c r="C94" s="24">
        <v>17500.0</v>
      </c>
      <c r="D94" s="24">
        <v>12700.0</v>
      </c>
      <c r="E94" s="24">
        <v>3900.0</v>
      </c>
      <c r="F94" s="24">
        <v>10900.0</v>
      </c>
      <c r="G94" s="5"/>
      <c r="H94" s="2"/>
      <c r="I94" s="2"/>
      <c r="J94" s="2"/>
      <c r="K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193</v>
      </c>
      <c r="B95" s="24">
        <v>14200.0</v>
      </c>
      <c r="C95" s="24">
        <v>6400.0</v>
      </c>
      <c r="D95" s="24">
        <v>18300.0</v>
      </c>
      <c r="E95" s="24">
        <v>13900.0</v>
      </c>
      <c r="F95" s="24">
        <v>2900.0</v>
      </c>
      <c r="G95" s="5"/>
      <c r="H95" s="2"/>
      <c r="I95" s="2"/>
      <c r="J95" s="2"/>
      <c r="K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195</v>
      </c>
      <c r="B96" s="24">
        <v>9500.0</v>
      </c>
      <c r="C96" s="24">
        <v>14200.0</v>
      </c>
      <c r="D96" s="24">
        <v>6800.0</v>
      </c>
      <c r="E96" s="24">
        <v>9200.0</v>
      </c>
      <c r="F96" s="24">
        <v>8600.0</v>
      </c>
      <c r="G96" s="5"/>
      <c r="H96" s="2"/>
      <c r="I96" s="2"/>
      <c r="J96" s="2"/>
      <c r="K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197</v>
      </c>
      <c r="B97" s="24">
        <v>17200.0</v>
      </c>
      <c r="C97" s="24">
        <v>10100.0</v>
      </c>
      <c r="D97" s="24">
        <v>9400.0</v>
      </c>
      <c r="E97" s="24">
        <v>3900.0</v>
      </c>
      <c r="F97" s="24">
        <v>1400.0</v>
      </c>
      <c r="G97" s="5"/>
      <c r="H97" s="2"/>
      <c r="I97" s="2"/>
      <c r="J97" s="2"/>
      <c r="K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199</v>
      </c>
      <c r="B98" s="24">
        <v>9400.0</v>
      </c>
      <c r="C98" s="24">
        <v>16400.0</v>
      </c>
      <c r="D98" s="24">
        <v>4400.0</v>
      </c>
      <c r="E98" s="24">
        <v>20000.0</v>
      </c>
      <c r="F98" s="24">
        <v>4900.0</v>
      </c>
      <c r="G98" s="5"/>
      <c r="H98" s="2"/>
      <c r="I98" s="2"/>
      <c r="J98" s="2"/>
      <c r="K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201</v>
      </c>
      <c r="B99" s="24">
        <v>12500.0</v>
      </c>
      <c r="C99" s="24">
        <v>3600.0</v>
      </c>
      <c r="D99" s="24">
        <v>5200.0</v>
      </c>
      <c r="E99" s="24">
        <v>18700.0</v>
      </c>
      <c r="F99" s="24">
        <v>3100.0</v>
      </c>
      <c r="G99" s="5"/>
      <c r="H99" s="2"/>
      <c r="I99" s="2"/>
      <c r="J99" s="2"/>
      <c r="K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203</v>
      </c>
      <c r="B100" s="24">
        <v>18600.0</v>
      </c>
      <c r="C100" s="24">
        <v>14800.0</v>
      </c>
      <c r="D100" s="24">
        <v>16200.0</v>
      </c>
      <c r="E100" s="24">
        <v>17000.0</v>
      </c>
      <c r="F100" s="24">
        <v>15200.0</v>
      </c>
      <c r="G100" s="5"/>
      <c r="H100" s="2"/>
      <c r="I100" s="2"/>
      <c r="J100" s="2"/>
      <c r="K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205</v>
      </c>
      <c r="B101" s="24">
        <v>4700.0</v>
      </c>
      <c r="C101" s="24">
        <v>4000.0</v>
      </c>
      <c r="D101" s="24">
        <v>16800.0</v>
      </c>
      <c r="E101" s="24">
        <v>11900.0</v>
      </c>
      <c r="F101" s="24">
        <v>8500.0</v>
      </c>
      <c r="G101" s="5"/>
      <c r="H101" s="2"/>
      <c r="I101" s="2"/>
      <c r="J101" s="2"/>
      <c r="K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2"/>
      <c r="C102" s="10"/>
      <c r="D102" s="5"/>
      <c r="E102" s="5"/>
      <c r="F102" s="5"/>
      <c r="G102" s="5"/>
      <c r="H102" s="2"/>
      <c r="I102" s="2"/>
      <c r="J102" s="2"/>
      <c r="K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2"/>
      <c r="C103" s="10"/>
      <c r="D103" s="5"/>
      <c r="E103" s="5"/>
      <c r="F103" s="5"/>
      <c r="G103" s="5"/>
      <c r="H103" s="2"/>
      <c r="I103" s="2"/>
      <c r="J103" s="2"/>
      <c r="K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2"/>
      <c r="C104" s="10"/>
      <c r="D104" s="5"/>
      <c r="E104" s="5"/>
      <c r="F104" s="5"/>
      <c r="G104" s="5"/>
      <c r="H104" s="2"/>
      <c r="I104" s="2"/>
      <c r="J104" s="2"/>
      <c r="K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2"/>
      <c r="C105" s="10"/>
      <c r="D105" s="5"/>
      <c r="E105" s="5"/>
      <c r="F105" s="5"/>
      <c r="G105" s="5"/>
      <c r="H105" s="2"/>
      <c r="I105" s="2"/>
      <c r="J105" s="2"/>
      <c r="K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2"/>
      <c r="C106" s="10"/>
      <c r="D106" s="5"/>
      <c r="E106" s="5"/>
      <c r="F106" s="5"/>
      <c r="G106" s="5"/>
      <c r="H106" s="2"/>
      <c r="I106" s="2"/>
      <c r="J106" s="2"/>
      <c r="K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2"/>
      <c r="C107" s="10"/>
      <c r="D107" s="5"/>
      <c r="E107" s="5"/>
      <c r="F107" s="5"/>
      <c r="G107" s="5"/>
      <c r="H107" s="2"/>
      <c r="I107" s="2"/>
      <c r="J107" s="2"/>
      <c r="K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2"/>
      <c r="C108" s="10"/>
      <c r="D108" s="5"/>
      <c r="E108" s="5"/>
      <c r="F108" s="5"/>
      <c r="G108" s="5"/>
      <c r="H108" s="2"/>
      <c r="I108" s="2"/>
      <c r="J108" s="2"/>
      <c r="K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2"/>
      <c r="C109" s="10"/>
      <c r="D109" s="5"/>
      <c r="E109" s="5"/>
      <c r="F109" s="5"/>
      <c r="G109" s="5"/>
      <c r="H109" s="2"/>
      <c r="I109" s="2"/>
      <c r="J109" s="2"/>
      <c r="K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2"/>
      <c r="C110" s="10"/>
      <c r="D110" s="5"/>
      <c r="E110" s="5"/>
      <c r="F110" s="5"/>
      <c r="G110" s="5"/>
      <c r="H110" s="2"/>
      <c r="I110" s="2"/>
      <c r="J110" s="2"/>
      <c r="K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2"/>
      <c r="C111" s="10"/>
      <c r="D111" s="5"/>
      <c r="E111" s="5"/>
      <c r="F111" s="5"/>
      <c r="G111" s="5"/>
      <c r="H111" s="2"/>
      <c r="I111" s="2"/>
      <c r="J111" s="2"/>
      <c r="K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2"/>
      <c r="C112" s="10"/>
      <c r="D112" s="5"/>
      <c r="E112" s="5"/>
      <c r="F112" s="5"/>
      <c r="G112" s="5"/>
      <c r="H112" s="2"/>
      <c r="I112" s="2"/>
      <c r="J112" s="2"/>
      <c r="K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2"/>
      <c r="C113" s="10"/>
      <c r="D113" s="5"/>
      <c r="E113" s="5"/>
      <c r="F113" s="5"/>
      <c r="G113" s="5"/>
      <c r="H113" s="2"/>
      <c r="I113" s="2"/>
      <c r="J113" s="2"/>
      <c r="K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2"/>
      <c r="C114" s="10"/>
      <c r="D114" s="5"/>
      <c r="E114" s="5"/>
      <c r="F114" s="5"/>
      <c r="G114" s="5"/>
      <c r="H114" s="2"/>
      <c r="I114" s="2"/>
      <c r="J114" s="2"/>
      <c r="K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2"/>
      <c r="C115" s="10"/>
      <c r="D115" s="5"/>
      <c r="E115" s="5"/>
      <c r="F115" s="5"/>
      <c r="G115" s="5"/>
      <c r="H115" s="2"/>
      <c r="I115" s="2"/>
      <c r="J115" s="2"/>
      <c r="K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2"/>
      <c r="C116" s="10"/>
      <c r="D116" s="5"/>
      <c r="E116" s="5"/>
      <c r="F116" s="5"/>
      <c r="G116" s="5"/>
      <c r="H116" s="2"/>
      <c r="I116" s="2"/>
      <c r="J116" s="2"/>
      <c r="K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2"/>
      <c r="C117" s="10"/>
      <c r="D117" s="5"/>
      <c r="E117" s="5"/>
      <c r="F117" s="5"/>
      <c r="G117" s="5"/>
      <c r="H117" s="2"/>
      <c r="I117" s="2"/>
      <c r="J117" s="2"/>
      <c r="K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2"/>
      <c r="C118" s="10"/>
      <c r="D118" s="5"/>
      <c r="E118" s="5"/>
      <c r="F118" s="5"/>
      <c r="G118" s="5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2"/>
      <c r="C119" s="10"/>
      <c r="D119" s="5"/>
      <c r="E119" s="5"/>
      <c r="F119" s="5"/>
      <c r="G119" s="5"/>
      <c r="H119" s="2"/>
      <c r="I119" s="2"/>
      <c r="J119" s="2"/>
      <c r="K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2"/>
      <c r="C120" s="10"/>
      <c r="D120" s="5"/>
      <c r="E120" s="5"/>
      <c r="F120" s="5"/>
      <c r="G120" s="5"/>
      <c r="H120" s="2"/>
      <c r="I120" s="2"/>
      <c r="J120" s="2"/>
      <c r="K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2"/>
      <c r="C121" s="10"/>
      <c r="D121" s="5"/>
      <c r="E121" s="5"/>
      <c r="F121" s="5"/>
      <c r="G121" s="5"/>
      <c r="H121" s="2"/>
      <c r="I121" s="2"/>
      <c r="J121" s="2"/>
      <c r="K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2"/>
      <c r="C122" s="10"/>
      <c r="D122" s="5"/>
      <c r="E122" s="5"/>
      <c r="F122" s="5"/>
      <c r="G122" s="5"/>
      <c r="H122" s="2"/>
      <c r="I122" s="2"/>
      <c r="J122" s="2"/>
      <c r="K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2"/>
      <c r="C123" s="10"/>
      <c r="D123" s="5"/>
      <c r="E123" s="5"/>
      <c r="F123" s="5"/>
      <c r="G123" s="5"/>
      <c r="H123" s="2"/>
      <c r="I123" s="2"/>
      <c r="J123" s="2"/>
      <c r="K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2"/>
      <c r="C124" s="10"/>
      <c r="D124" s="5"/>
      <c r="E124" s="5"/>
      <c r="F124" s="5"/>
      <c r="G124" s="5"/>
      <c r="H124" s="2"/>
      <c r="I124" s="2"/>
      <c r="J124" s="2"/>
      <c r="K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2"/>
      <c r="C125" s="10"/>
      <c r="D125" s="5"/>
      <c r="E125" s="5"/>
      <c r="F125" s="5"/>
      <c r="G125" s="5"/>
      <c r="H125" s="2"/>
      <c r="I125" s="2"/>
      <c r="J125" s="2"/>
      <c r="K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2"/>
      <c r="C126" s="10"/>
      <c r="D126" s="5"/>
      <c r="E126" s="5"/>
      <c r="F126" s="5"/>
      <c r="G126" s="5"/>
      <c r="H126" s="2"/>
      <c r="I126" s="2"/>
      <c r="J126" s="2"/>
      <c r="K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2"/>
      <c r="C127" s="10"/>
      <c r="D127" s="5"/>
      <c r="E127" s="5"/>
      <c r="F127" s="5"/>
      <c r="G127" s="5"/>
      <c r="H127" s="2"/>
      <c r="I127" s="2"/>
      <c r="J127" s="2"/>
      <c r="K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2"/>
      <c r="C128" s="10"/>
      <c r="D128" s="5"/>
      <c r="E128" s="5"/>
      <c r="F128" s="5"/>
      <c r="G128" s="5"/>
      <c r="H128" s="2"/>
      <c r="I128" s="2"/>
      <c r="J128" s="2"/>
      <c r="K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2"/>
      <c r="C129" s="10"/>
      <c r="D129" s="5"/>
      <c r="E129" s="5"/>
      <c r="F129" s="5"/>
      <c r="G129" s="5"/>
      <c r="H129" s="2"/>
      <c r="I129" s="2"/>
      <c r="J129" s="2"/>
      <c r="K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2"/>
      <c r="C130" s="10"/>
      <c r="D130" s="5"/>
      <c r="E130" s="5"/>
      <c r="F130" s="5"/>
      <c r="G130" s="5"/>
      <c r="H130" s="2"/>
      <c r="I130" s="2"/>
      <c r="J130" s="2"/>
      <c r="K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2"/>
      <c r="C131" s="10"/>
      <c r="D131" s="5"/>
      <c r="E131" s="5"/>
      <c r="F131" s="5"/>
      <c r="G131" s="5"/>
      <c r="H131" s="2"/>
      <c r="I131" s="2"/>
      <c r="J131" s="2"/>
      <c r="K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2"/>
      <c r="C132" s="10"/>
      <c r="D132" s="5"/>
      <c r="E132" s="5"/>
      <c r="F132" s="5"/>
      <c r="G132" s="5"/>
      <c r="H132" s="2"/>
      <c r="I132" s="2"/>
      <c r="J132" s="2"/>
      <c r="K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2"/>
      <c r="C133" s="10"/>
      <c r="D133" s="5"/>
      <c r="E133" s="5"/>
      <c r="F133" s="5"/>
      <c r="G133" s="5"/>
      <c r="H133" s="2"/>
      <c r="I133" s="2"/>
      <c r="J133" s="2"/>
      <c r="K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2"/>
      <c r="C134" s="10"/>
      <c r="D134" s="5"/>
      <c r="E134" s="5"/>
      <c r="F134" s="5"/>
      <c r="G134" s="5"/>
      <c r="H134" s="2"/>
      <c r="I134" s="2"/>
      <c r="J134" s="2"/>
      <c r="K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2"/>
      <c r="C135" s="10"/>
      <c r="D135" s="5"/>
      <c r="E135" s="5"/>
      <c r="F135" s="5"/>
      <c r="G135" s="5"/>
      <c r="H135" s="2"/>
      <c r="I135" s="2"/>
      <c r="J135" s="2"/>
      <c r="K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2"/>
      <c r="C136" s="10"/>
      <c r="D136" s="5"/>
      <c r="E136" s="5"/>
      <c r="F136" s="5"/>
      <c r="G136" s="5"/>
      <c r="H136" s="2"/>
      <c r="I136" s="2"/>
      <c r="J136" s="2"/>
      <c r="K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2"/>
      <c r="C137" s="10"/>
      <c r="D137" s="5"/>
      <c r="E137" s="5"/>
      <c r="F137" s="5"/>
      <c r="G137" s="5"/>
      <c r="H137" s="2"/>
      <c r="I137" s="2"/>
      <c r="J137" s="2"/>
      <c r="K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2"/>
      <c r="C138" s="10"/>
      <c r="D138" s="5"/>
      <c r="E138" s="5"/>
      <c r="F138" s="5"/>
      <c r="G138" s="5"/>
      <c r="H138" s="2"/>
      <c r="I138" s="2"/>
      <c r="J138" s="2"/>
      <c r="K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2"/>
      <c r="C139" s="10"/>
      <c r="D139" s="5"/>
      <c r="E139" s="5"/>
      <c r="F139" s="5"/>
      <c r="G139" s="5"/>
      <c r="H139" s="2"/>
      <c r="I139" s="2"/>
      <c r="J139" s="2"/>
      <c r="K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2"/>
      <c r="C140" s="10"/>
      <c r="D140" s="5"/>
      <c r="E140" s="5"/>
      <c r="F140" s="5"/>
      <c r="G140" s="5"/>
      <c r="H140" s="2"/>
      <c r="I140" s="2"/>
      <c r="J140" s="2"/>
      <c r="K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2"/>
      <c r="C141" s="10"/>
      <c r="D141" s="5"/>
      <c r="E141" s="5"/>
      <c r="F141" s="5"/>
      <c r="G141" s="5"/>
      <c r="H141" s="2"/>
      <c r="I141" s="2"/>
      <c r="J141" s="2"/>
      <c r="K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2"/>
      <c r="C142" s="10"/>
      <c r="D142" s="5"/>
      <c r="E142" s="5"/>
      <c r="F142" s="5"/>
      <c r="G142" s="5"/>
      <c r="H142" s="2"/>
      <c r="I142" s="2"/>
      <c r="J142" s="2"/>
      <c r="K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2"/>
      <c r="C143" s="10"/>
      <c r="D143" s="5"/>
      <c r="E143" s="5"/>
      <c r="F143" s="5"/>
      <c r="G143" s="5"/>
      <c r="H143" s="2"/>
      <c r="I143" s="2"/>
      <c r="J143" s="2"/>
      <c r="K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2"/>
      <c r="C144" s="10"/>
      <c r="D144" s="5"/>
      <c r="E144" s="5"/>
      <c r="F144" s="5"/>
      <c r="G144" s="5"/>
      <c r="H144" s="2"/>
      <c r="I144" s="2"/>
      <c r="J144" s="2"/>
      <c r="K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2"/>
      <c r="C145" s="10"/>
      <c r="D145" s="5"/>
      <c r="E145" s="5"/>
      <c r="F145" s="5"/>
      <c r="G145" s="5"/>
      <c r="H145" s="2"/>
      <c r="I145" s="2"/>
      <c r="J145" s="2"/>
      <c r="K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2"/>
      <c r="C146" s="10"/>
      <c r="D146" s="5"/>
      <c r="E146" s="5"/>
      <c r="F146" s="5"/>
      <c r="G146" s="5"/>
      <c r="H146" s="2"/>
      <c r="I146" s="2"/>
      <c r="J146" s="2"/>
      <c r="K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2"/>
      <c r="C147" s="10"/>
      <c r="D147" s="5"/>
      <c r="E147" s="5"/>
      <c r="F147" s="5"/>
      <c r="G147" s="5"/>
      <c r="H147" s="2"/>
      <c r="I147" s="2"/>
      <c r="J147" s="2"/>
      <c r="K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2"/>
      <c r="C148" s="10"/>
      <c r="D148" s="5"/>
      <c r="E148" s="5"/>
      <c r="F148" s="5"/>
      <c r="G148" s="5"/>
      <c r="H148" s="2"/>
      <c r="I148" s="2"/>
      <c r="J148" s="2"/>
      <c r="K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2"/>
      <c r="C149" s="10"/>
      <c r="D149" s="5"/>
      <c r="E149" s="5"/>
      <c r="F149" s="5"/>
      <c r="G149" s="5"/>
      <c r="H149" s="2"/>
      <c r="I149" s="2"/>
      <c r="J149" s="2"/>
      <c r="K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2"/>
      <c r="C150" s="10"/>
      <c r="D150" s="5"/>
      <c r="E150" s="5"/>
      <c r="F150" s="5"/>
      <c r="G150" s="5"/>
      <c r="H150" s="2"/>
      <c r="I150" s="2"/>
      <c r="J150" s="2"/>
      <c r="K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2"/>
      <c r="C151" s="10"/>
      <c r="D151" s="5"/>
      <c r="E151" s="5"/>
      <c r="F151" s="5"/>
      <c r="G151" s="5"/>
      <c r="H151" s="2"/>
      <c r="I151" s="2"/>
      <c r="J151" s="2"/>
      <c r="K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2"/>
      <c r="C152" s="10"/>
      <c r="D152" s="5"/>
      <c r="E152" s="5"/>
      <c r="F152" s="5"/>
      <c r="G152" s="5"/>
      <c r="H152" s="2"/>
      <c r="I152" s="2"/>
      <c r="J152" s="2"/>
      <c r="K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2"/>
      <c r="C153" s="10"/>
      <c r="D153" s="5"/>
      <c r="E153" s="5"/>
      <c r="F153" s="5"/>
      <c r="G153" s="5"/>
      <c r="H153" s="2"/>
      <c r="I153" s="2"/>
      <c r="J153" s="2"/>
      <c r="K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2"/>
      <c r="C154" s="10"/>
      <c r="D154" s="5"/>
      <c r="E154" s="5"/>
      <c r="F154" s="5"/>
      <c r="G154" s="5"/>
      <c r="H154" s="2"/>
      <c r="I154" s="2"/>
      <c r="J154" s="2"/>
      <c r="K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2"/>
      <c r="C155" s="10"/>
      <c r="D155" s="5"/>
      <c r="E155" s="5"/>
      <c r="F155" s="5"/>
      <c r="G155" s="5"/>
      <c r="H155" s="2"/>
      <c r="I155" s="2"/>
      <c r="J155" s="2"/>
      <c r="K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2"/>
      <c r="C156" s="10"/>
      <c r="D156" s="5"/>
      <c r="E156" s="5"/>
      <c r="F156" s="5"/>
      <c r="G156" s="5"/>
      <c r="H156" s="2"/>
      <c r="I156" s="2"/>
      <c r="J156" s="2"/>
      <c r="K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2"/>
      <c r="C157" s="10"/>
      <c r="D157" s="5"/>
      <c r="E157" s="5"/>
      <c r="F157" s="5"/>
      <c r="G157" s="5"/>
      <c r="H157" s="2"/>
      <c r="I157" s="2"/>
      <c r="J157" s="2"/>
      <c r="K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2"/>
      <c r="C158" s="10"/>
      <c r="D158" s="5"/>
      <c r="E158" s="5"/>
      <c r="F158" s="5"/>
      <c r="G158" s="5"/>
      <c r="H158" s="2"/>
      <c r="I158" s="2"/>
      <c r="J158" s="2"/>
      <c r="K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2"/>
      <c r="C159" s="10"/>
      <c r="D159" s="5"/>
      <c r="E159" s="5"/>
      <c r="F159" s="5"/>
      <c r="G159" s="5"/>
      <c r="H159" s="2"/>
      <c r="I159" s="2"/>
      <c r="J159" s="2"/>
      <c r="K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2"/>
      <c r="C160" s="10"/>
      <c r="D160" s="5"/>
      <c r="E160" s="5"/>
      <c r="F160" s="5"/>
      <c r="G160" s="5"/>
      <c r="H160" s="2"/>
      <c r="I160" s="2"/>
      <c r="J160" s="2"/>
      <c r="K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2"/>
      <c r="C161" s="10"/>
      <c r="D161" s="5"/>
      <c r="E161" s="5"/>
      <c r="F161" s="5"/>
      <c r="G161" s="5"/>
      <c r="H161" s="2"/>
      <c r="I161" s="2"/>
      <c r="J161" s="2"/>
      <c r="K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2"/>
      <c r="C162" s="10"/>
      <c r="D162" s="5"/>
      <c r="E162" s="5"/>
      <c r="F162" s="5"/>
      <c r="G162" s="5"/>
      <c r="H162" s="2"/>
      <c r="I162" s="2"/>
      <c r="J162" s="2"/>
      <c r="K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2"/>
      <c r="C163" s="10"/>
      <c r="D163" s="5"/>
      <c r="E163" s="5"/>
      <c r="F163" s="5"/>
      <c r="G163" s="5"/>
      <c r="H163" s="2"/>
      <c r="I163" s="2"/>
      <c r="J163" s="2"/>
      <c r="K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2"/>
      <c r="C164" s="10"/>
      <c r="D164" s="5"/>
      <c r="E164" s="5"/>
      <c r="F164" s="5"/>
      <c r="G164" s="5"/>
      <c r="H164" s="2"/>
      <c r="I164" s="2"/>
      <c r="J164" s="2"/>
      <c r="K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2"/>
      <c r="C165" s="10"/>
      <c r="D165" s="5"/>
      <c r="E165" s="5"/>
      <c r="F165" s="5"/>
      <c r="G165" s="5"/>
      <c r="H165" s="2"/>
      <c r="I165" s="2"/>
      <c r="J165" s="2"/>
      <c r="K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2"/>
      <c r="C166" s="10"/>
      <c r="D166" s="5"/>
      <c r="E166" s="5"/>
      <c r="F166" s="5"/>
      <c r="G166" s="5"/>
      <c r="H166" s="2"/>
      <c r="I166" s="2"/>
      <c r="J166" s="2"/>
      <c r="K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2"/>
      <c r="C167" s="10"/>
      <c r="D167" s="5"/>
      <c r="E167" s="5"/>
      <c r="F167" s="5"/>
      <c r="G167" s="5"/>
      <c r="H167" s="2"/>
      <c r="I167" s="2"/>
      <c r="J167" s="2"/>
      <c r="K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2"/>
      <c r="C168" s="10"/>
      <c r="D168" s="5"/>
      <c r="E168" s="5"/>
      <c r="F168" s="5"/>
      <c r="G168" s="5"/>
      <c r="H168" s="2"/>
      <c r="I168" s="2"/>
      <c r="J168" s="2"/>
      <c r="K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2"/>
      <c r="C169" s="10"/>
      <c r="D169" s="5"/>
      <c r="E169" s="5"/>
      <c r="F169" s="5"/>
      <c r="G169" s="5"/>
      <c r="H169" s="2"/>
      <c r="I169" s="2"/>
      <c r="J169" s="2"/>
      <c r="K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2"/>
      <c r="C170" s="10"/>
      <c r="D170" s="5"/>
      <c r="E170" s="5"/>
      <c r="F170" s="5"/>
      <c r="G170" s="5"/>
      <c r="H170" s="2"/>
      <c r="I170" s="2"/>
      <c r="J170" s="2"/>
      <c r="K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2"/>
      <c r="C171" s="10"/>
      <c r="D171" s="5"/>
      <c r="E171" s="5"/>
      <c r="F171" s="5"/>
      <c r="G171" s="5"/>
      <c r="H171" s="2"/>
      <c r="I171" s="2"/>
      <c r="J171" s="2"/>
      <c r="K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2"/>
      <c r="C172" s="10"/>
      <c r="D172" s="5"/>
      <c r="E172" s="5"/>
      <c r="F172" s="5"/>
      <c r="G172" s="5"/>
      <c r="H172" s="2"/>
      <c r="I172" s="2"/>
      <c r="J172" s="2"/>
      <c r="K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2"/>
      <c r="C173" s="10"/>
      <c r="D173" s="5"/>
      <c r="E173" s="5"/>
      <c r="F173" s="5"/>
      <c r="G173" s="5"/>
      <c r="H173" s="2"/>
      <c r="I173" s="2"/>
      <c r="J173" s="2"/>
      <c r="K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2"/>
      <c r="C174" s="10"/>
      <c r="D174" s="5"/>
      <c r="E174" s="5"/>
      <c r="F174" s="5"/>
      <c r="G174" s="5"/>
      <c r="H174" s="2"/>
      <c r="I174" s="2"/>
      <c r="J174" s="2"/>
      <c r="K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2"/>
      <c r="C175" s="10"/>
      <c r="D175" s="5"/>
      <c r="E175" s="5"/>
      <c r="F175" s="5"/>
      <c r="G175" s="5"/>
      <c r="H175" s="2"/>
      <c r="I175" s="2"/>
      <c r="J175" s="2"/>
      <c r="K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2"/>
      <c r="C176" s="10"/>
      <c r="D176" s="5"/>
      <c r="E176" s="5"/>
      <c r="F176" s="5"/>
      <c r="G176" s="5"/>
      <c r="H176" s="2"/>
      <c r="I176" s="2"/>
      <c r="J176" s="2"/>
      <c r="K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2"/>
      <c r="C177" s="10"/>
      <c r="D177" s="5"/>
      <c r="E177" s="5"/>
      <c r="F177" s="5"/>
      <c r="G177" s="5"/>
      <c r="H177" s="2"/>
      <c r="I177" s="2"/>
      <c r="J177" s="2"/>
      <c r="K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2"/>
      <c r="C178" s="10"/>
      <c r="D178" s="5"/>
      <c r="E178" s="5"/>
      <c r="F178" s="5"/>
      <c r="G178" s="5"/>
      <c r="H178" s="2"/>
      <c r="I178" s="2"/>
      <c r="J178" s="2"/>
      <c r="K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2"/>
      <c r="C179" s="10"/>
      <c r="D179" s="5"/>
      <c r="E179" s="5"/>
      <c r="F179" s="5"/>
      <c r="G179" s="5"/>
      <c r="H179" s="2"/>
      <c r="I179" s="2"/>
      <c r="J179" s="2"/>
      <c r="K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2"/>
      <c r="C180" s="10"/>
      <c r="D180" s="5"/>
      <c r="E180" s="5"/>
      <c r="F180" s="5"/>
      <c r="G180" s="5"/>
      <c r="H180" s="2"/>
      <c r="I180" s="2"/>
      <c r="J180" s="2"/>
      <c r="K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2"/>
      <c r="C181" s="10"/>
      <c r="D181" s="5"/>
      <c r="E181" s="5"/>
      <c r="F181" s="5"/>
      <c r="G181" s="5"/>
      <c r="H181" s="2"/>
      <c r="I181" s="2"/>
      <c r="J181" s="2"/>
      <c r="K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2"/>
      <c r="C182" s="10"/>
      <c r="D182" s="5"/>
      <c r="E182" s="5"/>
      <c r="F182" s="5"/>
      <c r="G182" s="5"/>
      <c r="H182" s="2"/>
      <c r="I182" s="2"/>
      <c r="J182" s="2"/>
      <c r="K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2"/>
      <c r="C183" s="10"/>
      <c r="D183" s="5"/>
      <c r="E183" s="5"/>
      <c r="F183" s="5"/>
      <c r="G183" s="5"/>
      <c r="H183" s="2"/>
      <c r="I183" s="2"/>
      <c r="J183" s="2"/>
      <c r="K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2"/>
      <c r="C184" s="10"/>
      <c r="D184" s="5"/>
      <c r="E184" s="5"/>
      <c r="F184" s="5"/>
      <c r="G184" s="5"/>
      <c r="H184" s="2"/>
      <c r="I184" s="2"/>
      <c r="J184" s="2"/>
      <c r="K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2"/>
      <c r="C185" s="10"/>
      <c r="D185" s="5"/>
      <c r="E185" s="5"/>
      <c r="F185" s="5"/>
      <c r="G185" s="5"/>
      <c r="H185" s="2"/>
      <c r="I185" s="2"/>
      <c r="J185" s="2"/>
      <c r="K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2"/>
      <c r="C186" s="10"/>
      <c r="D186" s="5"/>
      <c r="E186" s="5"/>
      <c r="F186" s="5"/>
      <c r="G186" s="5"/>
      <c r="H186" s="2"/>
      <c r="I186" s="2"/>
      <c r="J186" s="2"/>
      <c r="K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2"/>
      <c r="C187" s="10"/>
      <c r="D187" s="5"/>
      <c r="E187" s="5"/>
      <c r="F187" s="5"/>
      <c r="G187" s="5"/>
      <c r="H187" s="2"/>
      <c r="I187" s="2"/>
      <c r="J187" s="2"/>
      <c r="K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2"/>
      <c r="C188" s="10"/>
      <c r="D188" s="5"/>
      <c r="E188" s="5"/>
      <c r="F188" s="5"/>
      <c r="G188" s="5"/>
      <c r="H188" s="2"/>
      <c r="I188" s="2"/>
      <c r="J188" s="2"/>
      <c r="K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2"/>
      <c r="C189" s="10"/>
      <c r="D189" s="5"/>
      <c r="E189" s="5"/>
      <c r="F189" s="5"/>
      <c r="G189" s="5"/>
      <c r="H189" s="2"/>
      <c r="I189" s="2"/>
      <c r="J189" s="2"/>
      <c r="K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2"/>
      <c r="C190" s="10"/>
      <c r="D190" s="5"/>
      <c r="E190" s="5"/>
      <c r="F190" s="5"/>
      <c r="G190" s="5"/>
      <c r="H190" s="2"/>
      <c r="I190" s="2"/>
      <c r="J190" s="2"/>
      <c r="K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2"/>
      <c r="C191" s="10"/>
      <c r="D191" s="5"/>
      <c r="E191" s="5"/>
      <c r="F191" s="5"/>
      <c r="G191" s="5"/>
      <c r="H191" s="2"/>
      <c r="I191" s="2"/>
      <c r="J191" s="2"/>
      <c r="K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2"/>
      <c r="C192" s="10"/>
      <c r="D192" s="5"/>
      <c r="E192" s="5"/>
      <c r="F192" s="5"/>
      <c r="G192" s="5"/>
      <c r="H192" s="2"/>
      <c r="I192" s="2"/>
      <c r="J192" s="2"/>
      <c r="K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2"/>
      <c r="C193" s="10"/>
      <c r="D193" s="5"/>
      <c r="E193" s="5"/>
      <c r="F193" s="5"/>
      <c r="G193" s="5"/>
      <c r="H193" s="2"/>
      <c r="I193" s="2"/>
      <c r="J193" s="2"/>
      <c r="K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2"/>
      <c r="C194" s="10"/>
      <c r="D194" s="5"/>
      <c r="E194" s="5"/>
      <c r="F194" s="5"/>
      <c r="G194" s="5"/>
      <c r="H194" s="2"/>
      <c r="I194" s="2"/>
      <c r="J194" s="2"/>
      <c r="K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2"/>
      <c r="C195" s="10"/>
      <c r="D195" s="5"/>
      <c r="E195" s="5"/>
      <c r="F195" s="5"/>
      <c r="G195" s="5"/>
      <c r="H195" s="2"/>
      <c r="I195" s="2"/>
      <c r="J195" s="2"/>
      <c r="K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2"/>
      <c r="C196" s="10"/>
      <c r="D196" s="5"/>
      <c r="E196" s="5"/>
      <c r="F196" s="5"/>
      <c r="G196" s="5"/>
      <c r="H196" s="2"/>
      <c r="I196" s="2"/>
      <c r="J196" s="2"/>
      <c r="K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2"/>
      <c r="C197" s="10"/>
      <c r="D197" s="5"/>
      <c r="E197" s="5"/>
      <c r="F197" s="5"/>
      <c r="G197" s="5"/>
      <c r="H197" s="2"/>
      <c r="I197" s="2"/>
      <c r="J197" s="2"/>
      <c r="K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2"/>
      <c r="C198" s="10"/>
      <c r="D198" s="5"/>
      <c r="E198" s="5"/>
      <c r="F198" s="5"/>
      <c r="G198" s="5"/>
      <c r="H198" s="2"/>
      <c r="I198" s="2"/>
      <c r="J198" s="2"/>
      <c r="K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2"/>
      <c r="C199" s="10"/>
      <c r="D199" s="5"/>
      <c r="E199" s="5"/>
      <c r="F199" s="5"/>
      <c r="G199" s="5"/>
      <c r="H199" s="2"/>
      <c r="I199" s="2"/>
      <c r="J199" s="2"/>
      <c r="K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2"/>
      <c r="C200" s="10"/>
      <c r="D200" s="5"/>
      <c r="E200" s="5"/>
      <c r="F200" s="5"/>
      <c r="G200" s="5"/>
      <c r="H200" s="2"/>
      <c r="I200" s="2"/>
      <c r="J200" s="2"/>
      <c r="K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2"/>
      <c r="C201" s="10"/>
      <c r="D201" s="5"/>
      <c r="E201" s="5"/>
      <c r="F201" s="5"/>
      <c r="G201" s="5"/>
      <c r="H201" s="2"/>
      <c r="I201" s="2"/>
      <c r="J201" s="2"/>
      <c r="K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2"/>
      <c r="C202" s="10"/>
      <c r="D202" s="5"/>
      <c r="E202" s="5"/>
      <c r="F202" s="5"/>
      <c r="G202" s="5"/>
      <c r="H202" s="2"/>
      <c r="I202" s="2"/>
      <c r="J202" s="2"/>
      <c r="K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2"/>
      <c r="C203" s="10"/>
      <c r="D203" s="5"/>
      <c r="E203" s="5"/>
      <c r="F203" s="5"/>
      <c r="G203" s="5"/>
      <c r="H203" s="2"/>
      <c r="I203" s="2"/>
      <c r="J203" s="2"/>
      <c r="K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2"/>
      <c r="C204" s="10"/>
      <c r="D204" s="5"/>
      <c r="E204" s="5"/>
      <c r="F204" s="5"/>
      <c r="G204" s="5"/>
      <c r="H204" s="2"/>
      <c r="I204" s="2"/>
      <c r="J204" s="2"/>
      <c r="K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2"/>
      <c r="C205" s="10"/>
      <c r="D205" s="5"/>
      <c r="E205" s="5"/>
      <c r="F205" s="5"/>
      <c r="G205" s="5"/>
      <c r="H205" s="2"/>
      <c r="I205" s="2"/>
      <c r="J205" s="2"/>
      <c r="K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2"/>
      <c r="C206" s="10"/>
      <c r="D206" s="5"/>
      <c r="E206" s="5"/>
      <c r="F206" s="5"/>
      <c r="G206" s="5"/>
      <c r="H206" s="2"/>
      <c r="I206" s="2"/>
      <c r="J206" s="2"/>
      <c r="K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2"/>
      <c r="C207" s="10"/>
      <c r="D207" s="5"/>
      <c r="E207" s="5"/>
      <c r="F207" s="5"/>
      <c r="G207" s="5"/>
      <c r="H207" s="2"/>
      <c r="I207" s="2"/>
      <c r="J207" s="2"/>
      <c r="K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2"/>
      <c r="C208" s="10"/>
      <c r="D208" s="5"/>
      <c r="E208" s="5"/>
      <c r="F208" s="5"/>
      <c r="G208" s="5"/>
      <c r="H208" s="2"/>
      <c r="I208" s="2"/>
      <c r="J208" s="2"/>
      <c r="K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2"/>
      <c r="C209" s="10"/>
      <c r="D209" s="5"/>
      <c r="E209" s="5"/>
      <c r="F209" s="5"/>
      <c r="G209" s="5"/>
      <c r="H209" s="2"/>
      <c r="I209" s="2"/>
      <c r="J209" s="2"/>
      <c r="K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2"/>
      <c r="C210" s="10"/>
      <c r="D210" s="5"/>
      <c r="E210" s="5"/>
      <c r="F210" s="5"/>
      <c r="G210" s="5"/>
      <c r="H210" s="2"/>
      <c r="I210" s="2"/>
      <c r="J210" s="2"/>
      <c r="K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2"/>
      <c r="C211" s="10"/>
      <c r="D211" s="5"/>
      <c r="E211" s="5"/>
      <c r="F211" s="5"/>
      <c r="G211" s="5"/>
      <c r="H211" s="2"/>
      <c r="I211" s="2"/>
      <c r="J211" s="2"/>
      <c r="K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2"/>
      <c r="C212" s="10"/>
      <c r="D212" s="5"/>
      <c r="E212" s="5"/>
      <c r="F212" s="5"/>
      <c r="G212" s="5"/>
      <c r="H212" s="2"/>
      <c r="I212" s="2"/>
      <c r="J212" s="2"/>
      <c r="K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2"/>
      <c r="C213" s="10"/>
      <c r="D213" s="5"/>
      <c r="E213" s="5"/>
      <c r="F213" s="5"/>
      <c r="G213" s="5"/>
      <c r="H213" s="2"/>
      <c r="I213" s="2"/>
      <c r="J213" s="2"/>
      <c r="K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2"/>
      <c r="C214" s="10"/>
      <c r="D214" s="5"/>
      <c r="E214" s="5"/>
      <c r="F214" s="5"/>
      <c r="G214" s="5"/>
      <c r="H214" s="2"/>
      <c r="I214" s="2"/>
      <c r="J214" s="2"/>
      <c r="K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2"/>
      <c r="C215" s="10"/>
      <c r="D215" s="5"/>
      <c r="E215" s="5"/>
      <c r="F215" s="5"/>
      <c r="G215" s="5"/>
      <c r="H215" s="2"/>
      <c r="I215" s="2"/>
      <c r="J215" s="2"/>
      <c r="K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2"/>
      <c r="C216" s="10"/>
      <c r="D216" s="5"/>
      <c r="E216" s="5"/>
      <c r="F216" s="5"/>
      <c r="G216" s="5"/>
      <c r="H216" s="2"/>
      <c r="I216" s="2"/>
      <c r="J216" s="2"/>
      <c r="K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2"/>
      <c r="C217" s="10"/>
      <c r="D217" s="5"/>
      <c r="E217" s="5"/>
      <c r="F217" s="5"/>
      <c r="G217" s="5"/>
      <c r="H217" s="2"/>
      <c r="I217" s="2"/>
      <c r="J217" s="2"/>
      <c r="K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2"/>
      <c r="C218" s="10"/>
      <c r="D218" s="5"/>
      <c r="E218" s="5"/>
      <c r="F218" s="5"/>
      <c r="G218" s="5"/>
      <c r="H218" s="2"/>
      <c r="I218" s="2"/>
      <c r="J218" s="2"/>
      <c r="K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2"/>
      <c r="C219" s="10"/>
      <c r="D219" s="5"/>
      <c r="E219" s="5"/>
      <c r="F219" s="5"/>
      <c r="G219" s="5"/>
      <c r="H219" s="2"/>
      <c r="I219" s="2"/>
      <c r="J219" s="2"/>
      <c r="K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2"/>
      <c r="C220" s="10"/>
      <c r="D220" s="5"/>
      <c r="E220" s="5"/>
      <c r="F220" s="5"/>
      <c r="G220" s="5"/>
      <c r="H220" s="2"/>
      <c r="I220" s="2"/>
      <c r="J220" s="2"/>
      <c r="K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2"/>
      <c r="C221" s="10"/>
      <c r="D221" s="5"/>
      <c r="E221" s="5"/>
      <c r="F221" s="5"/>
      <c r="G221" s="5"/>
      <c r="H221" s="2"/>
      <c r="I221" s="2"/>
      <c r="J221" s="2"/>
      <c r="K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2"/>
      <c r="C222" s="10"/>
      <c r="D222" s="5"/>
      <c r="E222" s="5"/>
      <c r="F222" s="5"/>
      <c r="G222" s="5"/>
      <c r="H222" s="2"/>
      <c r="I222" s="2"/>
      <c r="J222" s="2"/>
      <c r="K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2"/>
      <c r="C223" s="10"/>
      <c r="D223" s="5"/>
      <c r="E223" s="5"/>
      <c r="F223" s="5"/>
      <c r="G223" s="5"/>
      <c r="H223" s="2"/>
      <c r="I223" s="2"/>
      <c r="J223" s="2"/>
      <c r="K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2"/>
      <c r="C224" s="10"/>
      <c r="D224" s="5"/>
      <c r="E224" s="5"/>
      <c r="F224" s="5"/>
      <c r="G224" s="5"/>
      <c r="H224" s="2"/>
      <c r="I224" s="2"/>
      <c r="J224" s="2"/>
      <c r="K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2"/>
      <c r="C225" s="10"/>
      <c r="D225" s="5"/>
      <c r="E225" s="5"/>
      <c r="F225" s="5"/>
      <c r="G225" s="5"/>
      <c r="H225" s="2"/>
      <c r="I225" s="2"/>
      <c r="J225" s="2"/>
      <c r="K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2"/>
      <c r="C226" s="10"/>
      <c r="D226" s="5"/>
      <c r="E226" s="5"/>
      <c r="F226" s="5"/>
      <c r="G226" s="5"/>
      <c r="H226" s="2"/>
      <c r="I226" s="2"/>
      <c r="J226" s="2"/>
      <c r="K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2"/>
      <c r="C227" s="10"/>
      <c r="D227" s="5"/>
      <c r="E227" s="5"/>
      <c r="F227" s="5"/>
      <c r="G227" s="5"/>
      <c r="H227" s="2"/>
      <c r="I227" s="2"/>
      <c r="J227" s="2"/>
      <c r="K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2"/>
      <c r="C228" s="10"/>
      <c r="D228" s="5"/>
      <c r="E228" s="5"/>
      <c r="F228" s="5"/>
      <c r="G228" s="5"/>
      <c r="H228" s="2"/>
      <c r="I228" s="2"/>
      <c r="J228" s="2"/>
      <c r="K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2"/>
      <c r="C229" s="10"/>
      <c r="D229" s="5"/>
      <c r="E229" s="5"/>
      <c r="F229" s="5"/>
      <c r="G229" s="5"/>
      <c r="H229" s="2"/>
      <c r="I229" s="2"/>
      <c r="J229" s="2"/>
      <c r="K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2"/>
      <c r="C230" s="10"/>
      <c r="D230" s="5"/>
      <c r="E230" s="5"/>
      <c r="F230" s="5"/>
      <c r="G230" s="5"/>
      <c r="H230" s="2"/>
      <c r="I230" s="2"/>
      <c r="J230" s="2"/>
      <c r="K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2"/>
      <c r="C231" s="10"/>
      <c r="D231" s="5"/>
      <c r="E231" s="5"/>
      <c r="F231" s="5"/>
      <c r="G231" s="5"/>
      <c r="H231" s="2"/>
      <c r="I231" s="2"/>
      <c r="J231" s="2"/>
      <c r="K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2"/>
      <c r="C232" s="10"/>
      <c r="D232" s="5"/>
      <c r="E232" s="5"/>
      <c r="F232" s="5"/>
      <c r="G232" s="5"/>
      <c r="H232" s="2"/>
      <c r="I232" s="2"/>
      <c r="J232" s="2"/>
      <c r="K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2"/>
      <c r="C233" s="10"/>
      <c r="D233" s="5"/>
      <c r="E233" s="5"/>
      <c r="F233" s="5"/>
      <c r="G233" s="5"/>
      <c r="H233" s="2"/>
      <c r="I233" s="2"/>
      <c r="J233" s="2"/>
      <c r="K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2"/>
      <c r="C234" s="10"/>
      <c r="D234" s="5"/>
      <c r="E234" s="5"/>
      <c r="F234" s="5"/>
      <c r="G234" s="5"/>
      <c r="H234" s="2"/>
      <c r="I234" s="2"/>
      <c r="J234" s="2"/>
      <c r="K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2"/>
      <c r="C235" s="10"/>
      <c r="D235" s="5"/>
      <c r="E235" s="5"/>
      <c r="F235" s="5"/>
      <c r="G235" s="5"/>
      <c r="H235" s="2"/>
      <c r="I235" s="2"/>
      <c r="J235" s="2"/>
      <c r="K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2"/>
      <c r="C236" s="10"/>
      <c r="D236" s="5"/>
      <c r="E236" s="5"/>
      <c r="F236" s="5"/>
      <c r="G236" s="5"/>
      <c r="H236" s="2"/>
      <c r="I236" s="2"/>
      <c r="J236" s="2"/>
      <c r="K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2"/>
      <c r="C237" s="10"/>
      <c r="D237" s="5"/>
      <c r="E237" s="5"/>
      <c r="F237" s="5"/>
      <c r="G237" s="5"/>
      <c r="H237" s="2"/>
      <c r="I237" s="2"/>
      <c r="J237" s="2"/>
      <c r="K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2"/>
      <c r="C238" s="10"/>
      <c r="D238" s="5"/>
      <c r="E238" s="5"/>
      <c r="F238" s="5"/>
      <c r="G238" s="5"/>
      <c r="H238" s="2"/>
      <c r="I238" s="2"/>
      <c r="J238" s="2"/>
      <c r="K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2"/>
      <c r="C239" s="10"/>
      <c r="D239" s="5"/>
      <c r="E239" s="5"/>
      <c r="F239" s="5"/>
      <c r="G239" s="5"/>
      <c r="H239" s="2"/>
      <c r="I239" s="2"/>
      <c r="J239" s="2"/>
      <c r="K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2"/>
      <c r="C240" s="10"/>
      <c r="D240" s="5"/>
      <c r="E240" s="5"/>
      <c r="F240" s="5"/>
      <c r="G240" s="5"/>
      <c r="H240" s="2"/>
      <c r="I240" s="2"/>
      <c r="J240" s="2"/>
      <c r="K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2"/>
      <c r="C241" s="10"/>
      <c r="D241" s="5"/>
      <c r="E241" s="5"/>
      <c r="F241" s="5"/>
      <c r="G241" s="5"/>
      <c r="H241" s="2"/>
      <c r="I241" s="2"/>
      <c r="J241" s="2"/>
      <c r="K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2"/>
      <c r="C242" s="10"/>
      <c r="D242" s="5"/>
      <c r="E242" s="5"/>
      <c r="F242" s="5"/>
      <c r="G242" s="5"/>
      <c r="H242" s="2"/>
      <c r="I242" s="2"/>
      <c r="J242" s="2"/>
      <c r="K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2"/>
      <c r="C243" s="10"/>
      <c r="D243" s="5"/>
      <c r="E243" s="5"/>
      <c r="F243" s="5"/>
      <c r="G243" s="5"/>
      <c r="H243" s="2"/>
      <c r="I243" s="2"/>
      <c r="J243" s="2"/>
      <c r="K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2"/>
      <c r="C244" s="10"/>
      <c r="D244" s="5"/>
      <c r="E244" s="5"/>
      <c r="F244" s="5"/>
      <c r="G244" s="5"/>
      <c r="H244" s="2"/>
      <c r="I244" s="2"/>
      <c r="J244" s="2"/>
      <c r="K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2"/>
      <c r="C245" s="10"/>
      <c r="D245" s="5"/>
      <c r="E245" s="5"/>
      <c r="F245" s="5"/>
      <c r="G245" s="5"/>
      <c r="H245" s="2"/>
      <c r="I245" s="2"/>
      <c r="J245" s="2"/>
      <c r="K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2"/>
      <c r="C246" s="10"/>
      <c r="D246" s="5"/>
      <c r="E246" s="5"/>
      <c r="F246" s="5"/>
      <c r="G246" s="5"/>
      <c r="H246" s="2"/>
      <c r="I246" s="2"/>
      <c r="J246" s="2"/>
      <c r="K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2"/>
      <c r="C247" s="10"/>
      <c r="D247" s="5"/>
      <c r="E247" s="5"/>
      <c r="F247" s="5"/>
      <c r="G247" s="5"/>
      <c r="H247" s="2"/>
      <c r="I247" s="2"/>
      <c r="J247" s="2"/>
      <c r="K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2"/>
      <c r="C248" s="10"/>
      <c r="D248" s="5"/>
      <c r="E248" s="5"/>
      <c r="F248" s="5"/>
      <c r="G248" s="5"/>
      <c r="H248" s="2"/>
      <c r="I248" s="2"/>
      <c r="J248" s="2"/>
      <c r="K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2"/>
      <c r="C249" s="10"/>
      <c r="D249" s="5"/>
      <c r="E249" s="5"/>
      <c r="F249" s="5"/>
      <c r="G249" s="5"/>
      <c r="H249" s="2"/>
      <c r="I249" s="2"/>
      <c r="J249" s="2"/>
      <c r="K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2"/>
      <c r="C250" s="10"/>
      <c r="D250" s="5"/>
      <c r="E250" s="5"/>
      <c r="F250" s="5"/>
      <c r="G250" s="5"/>
      <c r="H250" s="2"/>
      <c r="I250" s="2"/>
      <c r="J250" s="2"/>
      <c r="K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2"/>
      <c r="C251" s="10"/>
      <c r="D251" s="5"/>
      <c r="E251" s="5"/>
      <c r="F251" s="5"/>
      <c r="G251" s="5"/>
      <c r="H251" s="2"/>
      <c r="I251" s="2"/>
      <c r="J251" s="2"/>
      <c r="K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2"/>
      <c r="C252" s="10"/>
      <c r="D252" s="5"/>
      <c r="E252" s="5"/>
      <c r="F252" s="5"/>
      <c r="G252" s="5"/>
      <c r="H252" s="2"/>
      <c r="I252" s="2"/>
      <c r="J252" s="2"/>
      <c r="K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2"/>
      <c r="C253" s="10"/>
      <c r="D253" s="5"/>
      <c r="E253" s="5"/>
      <c r="F253" s="5"/>
      <c r="G253" s="5"/>
      <c r="H253" s="2"/>
      <c r="I253" s="2"/>
      <c r="J253" s="2"/>
      <c r="K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2"/>
      <c r="C254" s="10"/>
      <c r="D254" s="5"/>
      <c r="E254" s="5"/>
      <c r="F254" s="5"/>
      <c r="G254" s="5"/>
      <c r="H254" s="2"/>
      <c r="I254" s="2"/>
      <c r="J254" s="2"/>
      <c r="K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2"/>
      <c r="C255" s="10"/>
      <c r="D255" s="5"/>
      <c r="E255" s="5"/>
      <c r="F255" s="5"/>
      <c r="G255" s="5"/>
      <c r="H255" s="2"/>
      <c r="I255" s="2"/>
      <c r="J255" s="2"/>
      <c r="K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2"/>
      <c r="C256" s="10"/>
      <c r="D256" s="5"/>
      <c r="E256" s="5"/>
      <c r="F256" s="5"/>
      <c r="G256" s="5"/>
      <c r="H256" s="2"/>
      <c r="I256" s="2"/>
      <c r="J256" s="2"/>
      <c r="K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2"/>
      <c r="C257" s="10"/>
      <c r="D257" s="5"/>
      <c r="E257" s="5"/>
      <c r="F257" s="5"/>
      <c r="G257" s="5"/>
      <c r="H257" s="2"/>
      <c r="I257" s="2"/>
      <c r="J257" s="2"/>
      <c r="K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2"/>
      <c r="C258" s="10"/>
      <c r="D258" s="5"/>
      <c r="E258" s="5"/>
      <c r="F258" s="5"/>
      <c r="G258" s="5"/>
      <c r="H258" s="2"/>
      <c r="I258" s="2"/>
      <c r="J258" s="2"/>
      <c r="K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2"/>
      <c r="C259" s="10"/>
      <c r="D259" s="5"/>
      <c r="E259" s="5"/>
      <c r="F259" s="5"/>
      <c r="G259" s="5"/>
      <c r="H259" s="2"/>
      <c r="I259" s="2"/>
      <c r="J259" s="2"/>
      <c r="K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2"/>
      <c r="C260" s="10"/>
      <c r="D260" s="5"/>
      <c r="E260" s="5"/>
      <c r="F260" s="5"/>
      <c r="G260" s="5"/>
      <c r="H260" s="2"/>
      <c r="I260" s="2"/>
      <c r="J260" s="2"/>
      <c r="K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10"/>
      <c r="D261" s="5"/>
      <c r="E261" s="5"/>
      <c r="F261" s="5"/>
      <c r="G261" s="5"/>
      <c r="H261" s="2"/>
      <c r="I261" s="2"/>
      <c r="J261" s="2"/>
      <c r="K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10"/>
      <c r="D262" s="5"/>
      <c r="E262" s="5"/>
      <c r="F262" s="5"/>
      <c r="G262" s="5"/>
      <c r="H262" s="2"/>
      <c r="I262" s="2"/>
      <c r="J262" s="2"/>
      <c r="K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10"/>
      <c r="D263" s="5"/>
      <c r="E263" s="5"/>
      <c r="F263" s="5"/>
      <c r="G263" s="5"/>
      <c r="H263" s="2"/>
      <c r="I263" s="2"/>
      <c r="J263" s="2"/>
      <c r="K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10"/>
      <c r="D264" s="5"/>
      <c r="E264" s="5"/>
      <c r="F264" s="5"/>
      <c r="G264" s="5"/>
      <c r="H264" s="2"/>
      <c r="I264" s="2"/>
      <c r="J264" s="2"/>
      <c r="K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10"/>
      <c r="D265" s="5"/>
      <c r="E265" s="5"/>
      <c r="F265" s="5"/>
      <c r="G265" s="5"/>
      <c r="H265" s="2"/>
      <c r="I265" s="2"/>
      <c r="J265" s="2"/>
      <c r="K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10"/>
      <c r="D266" s="5"/>
      <c r="E266" s="5"/>
      <c r="F266" s="5"/>
      <c r="G266" s="5"/>
      <c r="H266" s="2"/>
      <c r="I266" s="2"/>
      <c r="J266" s="2"/>
      <c r="K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10"/>
      <c r="D267" s="5"/>
      <c r="E267" s="5"/>
      <c r="F267" s="5"/>
      <c r="G267" s="5"/>
      <c r="H267" s="2"/>
      <c r="I267" s="2"/>
      <c r="J267" s="2"/>
      <c r="K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10"/>
      <c r="D268" s="5"/>
      <c r="E268" s="5"/>
      <c r="F268" s="5"/>
      <c r="G268" s="5"/>
      <c r="H268" s="2"/>
      <c r="I268" s="2"/>
      <c r="J268" s="2"/>
      <c r="K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10"/>
      <c r="D269" s="5"/>
      <c r="E269" s="5"/>
      <c r="F269" s="5"/>
      <c r="G269" s="5"/>
      <c r="H269" s="2"/>
      <c r="I269" s="2"/>
      <c r="J269" s="2"/>
      <c r="K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10"/>
      <c r="D270" s="5"/>
      <c r="E270" s="5"/>
      <c r="F270" s="5"/>
      <c r="G270" s="5"/>
      <c r="H270" s="2"/>
      <c r="I270" s="2"/>
      <c r="J270" s="2"/>
      <c r="K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10"/>
      <c r="D271" s="5"/>
      <c r="E271" s="5"/>
      <c r="F271" s="5"/>
      <c r="G271" s="5"/>
      <c r="H271" s="2"/>
      <c r="I271" s="2"/>
      <c r="J271" s="2"/>
      <c r="K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10"/>
      <c r="D272" s="5"/>
      <c r="E272" s="5"/>
      <c r="F272" s="5"/>
      <c r="G272" s="5"/>
      <c r="H272" s="2"/>
      <c r="I272" s="2"/>
      <c r="J272" s="2"/>
      <c r="K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10"/>
      <c r="D273" s="5"/>
      <c r="E273" s="5"/>
      <c r="F273" s="5"/>
      <c r="G273" s="5"/>
      <c r="H273" s="2"/>
      <c r="I273" s="2"/>
      <c r="J273" s="2"/>
      <c r="K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10"/>
      <c r="D274" s="5"/>
      <c r="E274" s="5"/>
      <c r="F274" s="5"/>
      <c r="G274" s="5"/>
      <c r="H274" s="2"/>
      <c r="I274" s="2"/>
      <c r="J274" s="2"/>
      <c r="K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10"/>
      <c r="D275" s="5"/>
      <c r="E275" s="5"/>
      <c r="F275" s="5"/>
      <c r="G275" s="5"/>
      <c r="H275" s="2"/>
      <c r="I275" s="2"/>
      <c r="J275" s="2"/>
      <c r="K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10"/>
      <c r="D276" s="5"/>
      <c r="E276" s="5"/>
      <c r="F276" s="5"/>
      <c r="G276" s="5"/>
      <c r="H276" s="2"/>
      <c r="I276" s="2"/>
      <c r="J276" s="2"/>
      <c r="K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10"/>
      <c r="D277" s="5"/>
      <c r="E277" s="5"/>
      <c r="F277" s="5"/>
      <c r="G277" s="5"/>
      <c r="H277" s="2"/>
      <c r="I277" s="2"/>
      <c r="J277" s="2"/>
      <c r="K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10"/>
      <c r="D278" s="5"/>
      <c r="E278" s="5"/>
      <c r="F278" s="5"/>
      <c r="G278" s="5"/>
      <c r="H278" s="2"/>
      <c r="I278" s="2"/>
      <c r="J278" s="2"/>
      <c r="K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10"/>
      <c r="D279" s="5"/>
      <c r="E279" s="5"/>
      <c r="F279" s="5"/>
      <c r="G279" s="5"/>
      <c r="H279" s="2"/>
      <c r="I279" s="2"/>
      <c r="J279" s="2"/>
      <c r="K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10"/>
      <c r="D280" s="5"/>
      <c r="E280" s="5"/>
      <c r="F280" s="5"/>
      <c r="G280" s="5"/>
      <c r="H280" s="2"/>
      <c r="I280" s="2"/>
      <c r="J280" s="2"/>
      <c r="K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10"/>
      <c r="D281" s="5"/>
      <c r="E281" s="5"/>
      <c r="F281" s="5"/>
      <c r="G281" s="5"/>
      <c r="H281" s="2"/>
      <c r="I281" s="2"/>
      <c r="J281" s="2"/>
      <c r="K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10"/>
      <c r="D282" s="5"/>
      <c r="E282" s="5"/>
      <c r="F282" s="5"/>
      <c r="G282" s="5"/>
      <c r="H282" s="2"/>
      <c r="I282" s="2"/>
      <c r="J282" s="2"/>
      <c r="K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10"/>
      <c r="D283" s="5"/>
      <c r="E283" s="5"/>
      <c r="F283" s="5"/>
      <c r="G283" s="5"/>
      <c r="H283" s="2"/>
      <c r="I283" s="2"/>
      <c r="J283" s="2"/>
      <c r="K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10"/>
      <c r="D284" s="5"/>
      <c r="E284" s="5"/>
      <c r="F284" s="5"/>
      <c r="G284" s="5"/>
      <c r="H284" s="2"/>
      <c r="I284" s="2"/>
      <c r="J284" s="2"/>
      <c r="K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10"/>
      <c r="D285" s="5"/>
      <c r="E285" s="5"/>
      <c r="F285" s="5"/>
      <c r="G285" s="5"/>
      <c r="H285" s="2"/>
      <c r="I285" s="2"/>
      <c r="J285" s="2"/>
      <c r="K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10"/>
      <c r="D286" s="5"/>
      <c r="E286" s="5"/>
      <c r="F286" s="5"/>
      <c r="G286" s="5"/>
      <c r="H286" s="2"/>
      <c r="I286" s="2"/>
      <c r="J286" s="2"/>
      <c r="K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10"/>
      <c r="D287" s="5"/>
      <c r="E287" s="5"/>
      <c r="F287" s="5"/>
      <c r="G287" s="5"/>
      <c r="H287" s="2"/>
      <c r="I287" s="2"/>
      <c r="J287" s="2"/>
      <c r="K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10"/>
      <c r="D288" s="5"/>
      <c r="E288" s="5"/>
      <c r="F288" s="5"/>
      <c r="G288" s="5"/>
      <c r="H288" s="2"/>
      <c r="I288" s="2"/>
      <c r="J288" s="2"/>
      <c r="K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10"/>
      <c r="D289" s="5"/>
      <c r="E289" s="5"/>
      <c r="F289" s="5"/>
      <c r="G289" s="5"/>
      <c r="H289" s="2"/>
      <c r="I289" s="2"/>
      <c r="J289" s="2"/>
      <c r="K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10"/>
      <c r="D290" s="5"/>
      <c r="E290" s="5"/>
      <c r="F290" s="5"/>
      <c r="G290" s="5"/>
      <c r="H290" s="2"/>
      <c r="I290" s="2"/>
      <c r="J290" s="2"/>
      <c r="K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10"/>
      <c r="D291" s="5"/>
      <c r="E291" s="5"/>
      <c r="F291" s="5"/>
      <c r="G291" s="5"/>
      <c r="H291" s="2"/>
      <c r="I291" s="2"/>
      <c r="J291" s="2"/>
      <c r="K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10"/>
      <c r="D292" s="5"/>
      <c r="E292" s="5"/>
      <c r="F292" s="5"/>
      <c r="G292" s="5"/>
      <c r="H292" s="2"/>
      <c r="I292" s="2"/>
      <c r="J292" s="2"/>
      <c r="K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10"/>
      <c r="D293" s="5"/>
      <c r="E293" s="5"/>
      <c r="F293" s="5"/>
      <c r="G293" s="5"/>
      <c r="H293" s="2"/>
      <c r="I293" s="2"/>
      <c r="J293" s="2"/>
      <c r="K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10"/>
      <c r="D294" s="5"/>
      <c r="E294" s="5"/>
      <c r="F294" s="5"/>
      <c r="G294" s="5"/>
      <c r="H294" s="2"/>
      <c r="I294" s="2"/>
      <c r="J294" s="2"/>
      <c r="K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10"/>
      <c r="D295" s="5"/>
      <c r="E295" s="5"/>
      <c r="F295" s="5"/>
      <c r="G295" s="5"/>
      <c r="H295" s="2"/>
      <c r="I295" s="2"/>
      <c r="J295" s="2"/>
      <c r="K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10"/>
      <c r="D296" s="5"/>
      <c r="E296" s="5"/>
      <c r="F296" s="5"/>
      <c r="G296" s="5"/>
      <c r="H296" s="2"/>
      <c r="I296" s="2"/>
      <c r="J296" s="2"/>
      <c r="K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10"/>
      <c r="D297" s="5"/>
      <c r="E297" s="5"/>
      <c r="F297" s="5"/>
      <c r="G297" s="5"/>
      <c r="H297" s="2"/>
      <c r="I297" s="2"/>
      <c r="J297" s="2"/>
      <c r="K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10"/>
      <c r="D298" s="5"/>
      <c r="E298" s="5"/>
      <c r="F298" s="5"/>
      <c r="G298" s="5"/>
      <c r="H298" s="2"/>
      <c r="I298" s="2"/>
      <c r="J298" s="2"/>
      <c r="K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10"/>
      <c r="D299" s="5"/>
      <c r="E299" s="5"/>
      <c r="F299" s="5"/>
      <c r="G299" s="5"/>
      <c r="H299" s="2"/>
      <c r="I299" s="2"/>
      <c r="J299" s="2"/>
      <c r="K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10"/>
      <c r="D300" s="5"/>
      <c r="E300" s="5"/>
      <c r="F300" s="5"/>
      <c r="G300" s="5"/>
      <c r="H300" s="2"/>
      <c r="I300" s="2"/>
      <c r="J300" s="2"/>
      <c r="K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10"/>
      <c r="D301" s="5"/>
      <c r="E301" s="5"/>
      <c r="F301" s="5"/>
      <c r="G301" s="5"/>
      <c r="H301" s="2"/>
      <c r="I301" s="2"/>
      <c r="J301" s="2"/>
      <c r="K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5"/>
      <c r="F302" s="5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5"/>
      <c r="F303" s="5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5"/>
      <c r="F304" s="5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5"/>
      <c r="F305" s="5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5"/>
      <c r="F306" s="5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5"/>
      <c r="F307" s="5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5"/>
      <c r="F308" s="5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5"/>
      <c r="F309" s="5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5"/>
      <c r="F310" s="5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5"/>
      <c r="F311" s="5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5"/>
      <c r="F312" s="5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5"/>
      <c r="F313" s="5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5"/>
      <c r="F314" s="5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5"/>
      <c r="F315" s="5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5"/>
      <c r="F316" s="5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5"/>
      <c r="F317" s="5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5"/>
      <c r="F318" s="5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5"/>
      <c r="F319" s="5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5"/>
      <c r="F320" s="5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5"/>
      <c r="F321" s="5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5"/>
      <c r="F322" s="5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5"/>
      <c r="F323" s="5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5"/>
      <c r="F324" s="5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5"/>
      <c r="F325" s="5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5"/>
      <c r="F326" s="5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5"/>
      <c r="F327" s="5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5"/>
      <c r="F328" s="5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5"/>
      <c r="F329" s="5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5"/>
      <c r="F330" s="5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5"/>
      <c r="F331" s="5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5"/>
      <c r="F332" s="5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5"/>
      <c r="F333" s="5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5"/>
      <c r="F334" s="5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5"/>
      <c r="F335" s="5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5"/>
      <c r="F336" s="5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5"/>
      <c r="F337" s="5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5"/>
      <c r="F338" s="5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5"/>
      <c r="F339" s="5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5"/>
      <c r="F340" s="5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5"/>
      <c r="F341" s="5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5"/>
      <c r="F342" s="5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5"/>
      <c r="F343" s="5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5"/>
      <c r="F344" s="5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5"/>
      <c r="F345" s="5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5"/>
      <c r="F346" s="5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5"/>
      <c r="F347" s="5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5"/>
      <c r="F348" s="5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5"/>
      <c r="F349" s="5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5"/>
      <c r="F350" s="5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5"/>
      <c r="F351" s="5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5"/>
      <c r="F352" s="5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5"/>
      <c r="F353" s="5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5"/>
      <c r="F354" s="5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5"/>
      <c r="F355" s="5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5"/>
      <c r="F356" s="5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5"/>
      <c r="F357" s="5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5"/>
      <c r="F358" s="5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5"/>
      <c r="F359" s="5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5"/>
      <c r="F360" s="5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5"/>
      <c r="F361" s="5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5"/>
      <c r="F362" s="5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5"/>
      <c r="F363" s="5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5"/>
      <c r="F364" s="5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5"/>
      <c r="F365" s="5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5"/>
      <c r="F366" s="5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5"/>
      <c r="F367" s="5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5"/>
      <c r="F368" s="5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5"/>
      <c r="F369" s="5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5"/>
      <c r="F370" s="5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5"/>
      <c r="F371" s="5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5"/>
      <c r="F372" s="5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5"/>
      <c r="F373" s="5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5"/>
      <c r="F374" s="5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5"/>
      <c r="F375" s="5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5"/>
      <c r="F376" s="5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5"/>
      <c r="F377" s="5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5"/>
      <c r="F378" s="5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5"/>
      <c r="F379" s="5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5"/>
      <c r="F380" s="5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5"/>
      <c r="F381" s="5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5"/>
      <c r="F382" s="5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5"/>
      <c r="F383" s="5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5"/>
      <c r="F384" s="5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5"/>
      <c r="F385" s="5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5"/>
      <c r="F386" s="5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5"/>
      <c r="F387" s="5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5"/>
      <c r="F388" s="5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5"/>
      <c r="F389" s="5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5"/>
      <c r="F390" s="5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5"/>
      <c r="F391" s="5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5"/>
      <c r="F392" s="5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5"/>
      <c r="F393" s="5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5"/>
      <c r="F394" s="5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5"/>
      <c r="F395" s="5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5"/>
      <c r="F396" s="5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5"/>
      <c r="F397" s="5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5"/>
      <c r="F398" s="5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5"/>
      <c r="F399" s="5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5"/>
      <c r="F400" s="5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5"/>
      <c r="F401" s="5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5"/>
      <c r="F402" s="5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5"/>
      <c r="F403" s="5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5"/>
      <c r="F404" s="5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5"/>
      <c r="F405" s="5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5"/>
      <c r="F406" s="5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5"/>
      <c r="F407" s="5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5"/>
      <c r="F408" s="5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5"/>
      <c r="F409" s="5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5"/>
      <c r="F410" s="5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5"/>
      <c r="F411" s="5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5"/>
      <c r="F412" s="5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5"/>
      <c r="F413" s="5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5"/>
      <c r="F414" s="5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5"/>
      <c r="F415" s="5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5"/>
      <c r="F416" s="5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5"/>
      <c r="F417" s="5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5"/>
      <c r="F418" s="5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5"/>
      <c r="F419" s="5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5"/>
      <c r="F420" s="5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5"/>
      <c r="F421" s="5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5"/>
      <c r="F422" s="5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5"/>
      <c r="F423" s="5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5"/>
      <c r="F424" s="5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5"/>
      <c r="F425" s="5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5"/>
      <c r="F426" s="5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5"/>
      <c r="F427" s="5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5"/>
      <c r="F428" s="5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5"/>
      <c r="F429" s="5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5"/>
      <c r="F430" s="5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5"/>
      <c r="F431" s="5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5"/>
      <c r="F432" s="5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5"/>
      <c r="F433" s="5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5"/>
      <c r="F434" s="5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5"/>
      <c r="F435" s="5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5"/>
      <c r="F436" s="5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5"/>
      <c r="F437" s="5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5"/>
      <c r="F438" s="5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5"/>
      <c r="F439" s="5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5"/>
      <c r="F440" s="5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5"/>
      <c r="F441" s="5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5"/>
      <c r="F442" s="5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5"/>
      <c r="F443" s="5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5"/>
      <c r="F444" s="5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5"/>
      <c r="F445" s="5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5"/>
      <c r="F446" s="5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5"/>
      <c r="F447" s="5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5"/>
      <c r="F448" s="5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5"/>
      <c r="F449" s="5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5"/>
      <c r="F450" s="5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5"/>
      <c r="F451" s="5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5"/>
      <c r="F452" s="5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5"/>
      <c r="F453" s="5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5"/>
      <c r="F454" s="5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5"/>
      <c r="F455" s="5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5"/>
      <c r="F456" s="5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5"/>
      <c r="F457" s="5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5"/>
      <c r="F458" s="5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5"/>
      <c r="F459" s="5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5"/>
      <c r="F460" s="5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5"/>
      <c r="F461" s="5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5"/>
      <c r="F462" s="5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5"/>
      <c r="F463" s="5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5"/>
      <c r="F464" s="5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5"/>
      <c r="F465" s="5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5"/>
      <c r="F466" s="5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5"/>
      <c r="F467" s="5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5"/>
      <c r="F468" s="5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5"/>
      <c r="F469" s="5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5"/>
      <c r="F470" s="5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5"/>
      <c r="F471" s="5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5"/>
      <c r="F472" s="5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5"/>
      <c r="F473" s="5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5"/>
      <c r="F474" s="5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5"/>
      <c r="F475" s="5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5"/>
      <c r="F476" s="5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5"/>
      <c r="F477" s="5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5"/>
      <c r="F478" s="5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5"/>
      <c r="F479" s="5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5"/>
      <c r="F480" s="5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5"/>
      <c r="F481" s="5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5"/>
      <c r="F482" s="5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5"/>
      <c r="F483" s="5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5"/>
      <c r="F484" s="5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5"/>
      <c r="F485" s="5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5"/>
      <c r="F486" s="5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5"/>
      <c r="F487" s="5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5"/>
      <c r="F488" s="5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5"/>
      <c r="F489" s="5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5"/>
      <c r="F490" s="5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5"/>
      <c r="F491" s="5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5"/>
      <c r="F492" s="5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5"/>
      <c r="F493" s="5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5"/>
      <c r="F494" s="5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5"/>
      <c r="F495" s="5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5"/>
      <c r="F496" s="5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5"/>
      <c r="F497" s="5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5"/>
      <c r="F498" s="5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5"/>
      <c r="F499" s="5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5"/>
      <c r="F500" s="5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5"/>
      <c r="F501" s="5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5"/>
      <c r="F502" s="5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5"/>
      <c r="F503" s="5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5"/>
      <c r="F504" s="5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5"/>
      <c r="F505" s="5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5"/>
      <c r="F506" s="5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5"/>
      <c r="F507" s="5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5"/>
      <c r="F508" s="5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5"/>
      <c r="F509" s="5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5"/>
      <c r="F510" s="5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5"/>
      <c r="F511" s="5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5"/>
      <c r="F512" s="5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5"/>
      <c r="F513" s="5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5"/>
      <c r="F514" s="5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5"/>
      <c r="F515" s="5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5"/>
      <c r="F516" s="5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5"/>
      <c r="F517" s="5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5"/>
      <c r="F518" s="5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5"/>
      <c r="F519" s="5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5"/>
      <c r="F520" s="5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5"/>
      <c r="F521" s="5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5"/>
      <c r="F522" s="5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5"/>
      <c r="F523" s="5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5"/>
      <c r="F524" s="5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5"/>
      <c r="F525" s="5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5"/>
      <c r="F526" s="5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5"/>
      <c r="F527" s="5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5"/>
      <c r="F528" s="5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5"/>
      <c r="F529" s="5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5"/>
      <c r="F530" s="5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5"/>
      <c r="F531" s="5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5"/>
      <c r="F532" s="5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5"/>
      <c r="F533" s="5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5"/>
      <c r="F534" s="5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5"/>
      <c r="F535" s="5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5"/>
      <c r="F536" s="5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5"/>
      <c r="F537" s="5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5"/>
      <c r="F538" s="5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5"/>
      <c r="F539" s="5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5"/>
      <c r="F540" s="5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5"/>
      <c r="F541" s="5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5"/>
      <c r="F542" s="5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5"/>
      <c r="F543" s="5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5"/>
      <c r="F544" s="5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5"/>
      <c r="F545" s="5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5"/>
      <c r="F546" s="5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5"/>
      <c r="F547" s="5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5"/>
      <c r="F548" s="5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5"/>
      <c r="F549" s="5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5"/>
      <c r="F550" s="5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5"/>
      <c r="F551" s="5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5"/>
      <c r="F552" s="5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5"/>
      <c r="F553" s="5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5"/>
      <c r="F554" s="5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5"/>
      <c r="F555" s="5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5"/>
      <c r="F556" s="5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5"/>
      <c r="F557" s="5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5"/>
      <c r="F558" s="5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5"/>
      <c r="F559" s="5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5"/>
      <c r="F560" s="5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5"/>
      <c r="F561" s="5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5"/>
      <c r="F562" s="5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5"/>
      <c r="F563" s="5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5"/>
      <c r="F564" s="5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5"/>
      <c r="F565" s="5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5"/>
      <c r="F566" s="5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5"/>
      <c r="F567" s="5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5"/>
      <c r="F568" s="5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5"/>
      <c r="F569" s="5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5"/>
      <c r="F570" s="5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5"/>
      <c r="F571" s="5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5"/>
      <c r="F572" s="5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5"/>
      <c r="F573" s="5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5"/>
      <c r="F574" s="5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5"/>
      <c r="F575" s="5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5"/>
      <c r="F576" s="5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5"/>
      <c r="F577" s="5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5"/>
      <c r="F578" s="5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5"/>
      <c r="F579" s="5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5"/>
      <c r="F580" s="5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5"/>
      <c r="F581" s="5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5"/>
      <c r="F582" s="5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5"/>
      <c r="F583" s="5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5"/>
      <c r="F584" s="5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5"/>
      <c r="F585" s="5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5"/>
      <c r="F586" s="5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5"/>
      <c r="F587" s="5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5"/>
      <c r="F588" s="5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5"/>
      <c r="F589" s="5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5"/>
      <c r="F590" s="5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5"/>
      <c r="F591" s="5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5"/>
      <c r="F592" s="5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5"/>
      <c r="F593" s="5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5"/>
      <c r="F594" s="5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5"/>
      <c r="F595" s="5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5"/>
      <c r="F596" s="5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5"/>
      <c r="F597" s="5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5"/>
      <c r="F598" s="5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5"/>
      <c r="F599" s="5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5"/>
      <c r="F600" s="5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5"/>
      <c r="F601" s="5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5"/>
      <c r="F602" s="5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5"/>
      <c r="F603" s="5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5"/>
      <c r="F604" s="5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5"/>
      <c r="F605" s="5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5"/>
      <c r="F606" s="5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5"/>
      <c r="F607" s="5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5"/>
      <c r="F608" s="5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5"/>
      <c r="F609" s="5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5"/>
      <c r="F610" s="5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5"/>
      <c r="F611" s="5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5"/>
      <c r="F612" s="5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5"/>
      <c r="F613" s="5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5"/>
      <c r="F614" s="5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5"/>
      <c r="F615" s="5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5"/>
      <c r="F616" s="5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5"/>
      <c r="F617" s="5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5"/>
      <c r="F618" s="5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5"/>
      <c r="F619" s="5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5"/>
      <c r="F620" s="5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5"/>
      <c r="F621" s="5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5"/>
      <c r="F622" s="5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5"/>
      <c r="F623" s="5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5"/>
      <c r="F624" s="5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5"/>
      <c r="F625" s="5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5"/>
      <c r="F626" s="5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5"/>
      <c r="F627" s="5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5"/>
      <c r="F628" s="5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5"/>
      <c r="F629" s="5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5"/>
      <c r="F630" s="5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5"/>
      <c r="F631" s="5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5"/>
      <c r="F632" s="5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5"/>
      <c r="F633" s="5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5"/>
      <c r="F634" s="5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5"/>
      <c r="F635" s="5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5"/>
      <c r="F636" s="5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5"/>
      <c r="F637" s="5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5"/>
      <c r="F638" s="5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5"/>
      <c r="F639" s="5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5"/>
      <c r="F640" s="5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5"/>
      <c r="F641" s="5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5"/>
      <c r="F642" s="5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5"/>
      <c r="F643" s="5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5"/>
      <c r="F644" s="5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5"/>
      <c r="F645" s="5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5"/>
      <c r="F646" s="5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5"/>
      <c r="F647" s="5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5"/>
      <c r="F648" s="5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5"/>
      <c r="F649" s="5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5"/>
      <c r="F650" s="5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5"/>
      <c r="F651" s="5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5"/>
      <c r="F652" s="5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5"/>
      <c r="F653" s="5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5"/>
      <c r="F654" s="5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5"/>
      <c r="F655" s="5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5"/>
      <c r="F656" s="5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5"/>
      <c r="F657" s="5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5"/>
      <c r="F658" s="5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5"/>
      <c r="F659" s="5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5"/>
      <c r="F660" s="5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5"/>
      <c r="F661" s="5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5"/>
      <c r="F662" s="5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5"/>
      <c r="F663" s="5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5"/>
      <c r="F664" s="5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5"/>
      <c r="F665" s="5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5"/>
      <c r="F666" s="5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5"/>
      <c r="F667" s="5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5"/>
      <c r="F668" s="5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5"/>
      <c r="F669" s="5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5"/>
      <c r="F670" s="5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5"/>
      <c r="F671" s="5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5"/>
      <c r="F672" s="5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5"/>
      <c r="F673" s="5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5"/>
      <c r="F674" s="5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5"/>
      <c r="F675" s="5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5"/>
      <c r="F676" s="5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5"/>
      <c r="F677" s="5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5"/>
      <c r="F678" s="5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5"/>
      <c r="F679" s="5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5"/>
      <c r="F680" s="5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5"/>
      <c r="F681" s="5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5"/>
      <c r="F682" s="5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5"/>
      <c r="F683" s="5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5"/>
      <c r="F684" s="5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5"/>
      <c r="F685" s="5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5"/>
      <c r="F686" s="5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5"/>
      <c r="F687" s="5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5"/>
      <c r="F688" s="5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5"/>
      <c r="F689" s="5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5"/>
      <c r="F690" s="5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5"/>
      <c r="F691" s="5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5"/>
      <c r="F692" s="5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5"/>
      <c r="F693" s="5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5"/>
      <c r="F694" s="5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5"/>
      <c r="F695" s="5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5"/>
      <c r="F696" s="5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5"/>
      <c r="F697" s="5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5"/>
      <c r="F698" s="5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5"/>
      <c r="F699" s="5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5"/>
      <c r="F700" s="5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5"/>
      <c r="F701" s="5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5"/>
      <c r="F702" s="5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5"/>
      <c r="F703" s="5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5"/>
      <c r="F704" s="5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5"/>
      <c r="F705" s="5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5"/>
      <c r="F706" s="5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5"/>
      <c r="F707" s="5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5"/>
      <c r="F708" s="5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5"/>
      <c r="F709" s="5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5"/>
      <c r="F710" s="5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5"/>
      <c r="F711" s="5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5"/>
      <c r="F712" s="5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5"/>
      <c r="F713" s="5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5"/>
      <c r="F714" s="5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5"/>
      <c r="F715" s="5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5"/>
      <c r="F716" s="5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5"/>
      <c r="F717" s="5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5"/>
      <c r="F718" s="5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5"/>
      <c r="F719" s="5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5"/>
      <c r="F720" s="5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5"/>
      <c r="F721" s="5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5"/>
      <c r="F722" s="5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5"/>
      <c r="F723" s="5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5"/>
      <c r="F724" s="5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5"/>
      <c r="F725" s="5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5"/>
      <c r="F726" s="5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5"/>
      <c r="F727" s="5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5"/>
      <c r="F728" s="5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5"/>
      <c r="F729" s="5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5"/>
      <c r="F730" s="5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5"/>
      <c r="F731" s="5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5"/>
      <c r="F732" s="5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5"/>
      <c r="F733" s="5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5"/>
      <c r="F734" s="5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5"/>
      <c r="F735" s="5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5"/>
      <c r="F736" s="5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5"/>
      <c r="F737" s="5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5"/>
      <c r="F738" s="5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5"/>
      <c r="F739" s="5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5"/>
      <c r="F740" s="5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5"/>
      <c r="F741" s="5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5"/>
      <c r="F742" s="5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5"/>
      <c r="F743" s="5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5"/>
      <c r="F744" s="5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5"/>
      <c r="F745" s="5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5"/>
      <c r="F746" s="5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5"/>
      <c r="F747" s="5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5"/>
      <c r="F748" s="5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5"/>
      <c r="F749" s="5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5"/>
      <c r="F750" s="5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5"/>
      <c r="F751" s="5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5"/>
      <c r="F752" s="5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5"/>
      <c r="F753" s="5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5"/>
      <c r="F754" s="5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5"/>
      <c r="F755" s="5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5"/>
      <c r="F756" s="5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5"/>
      <c r="F757" s="5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5"/>
      <c r="F758" s="5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5"/>
      <c r="F759" s="5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5"/>
      <c r="F760" s="5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5"/>
      <c r="F761" s="5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5"/>
      <c r="F762" s="5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5"/>
      <c r="F763" s="5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5"/>
      <c r="F764" s="5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5"/>
      <c r="F765" s="5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5"/>
      <c r="F766" s="5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5"/>
      <c r="F767" s="5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5"/>
      <c r="F768" s="5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5"/>
      <c r="F769" s="5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5"/>
      <c r="F770" s="5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5"/>
      <c r="F771" s="5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5"/>
      <c r="F772" s="5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5"/>
      <c r="F773" s="5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5"/>
      <c r="F774" s="5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5"/>
      <c r="F775" s="5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5"/>
      <c r="F776" s="5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5"/>
      <c r="F777" s="5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5"/>
      <c r="F778" s="5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5"/>
      <c r="F779" s="5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5"/>
      <c r="F780" s="5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5"/>
      <c r="F781" s="5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5"/>
      <c r="F782" s="5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5"/>
      <c r="F783" s="5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5"/>
      <c r="F784" s="5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5"/>
      <c r="F785" s="5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5"/>
      <c r="F786" s="5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5"/>
      <c r="F787" s="5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5"/>
      <c r="F788" s="5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5"/>
      <c r="F789" s="5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5"/>
      <c r="F790" s="5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5"/>
      <c r="F791" s="5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5"/>
      <c r="F792" s="5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5"/>
      <c r="F793" s="5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5"/>
      <c r="F794" s="5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5"/>
      <c r="F795" s="5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5"/>
      <c r="F796" s="5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5"/>
      <c r="F797" s="5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5"/>
      <c r="F798" s="5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5"/>
      <c r="F799" s="5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5"/>
      <c r="F800" s="5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5"/>
      <c r="F801" s="5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5"/>
      <c r="F802" s="5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5"/>
      <c r="F803" s="5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5"/>
      <c r="F804" s="5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5"/>
      <c r="F805" s="5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5"/>
      <c r="F806" s="5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5"/>
      <c r="F807" s="5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5"/>
      <c r="F808" s="5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5"/>
      <c r="F809" s="5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5"/>
      <c r="F810" s="5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5"/>
      <c r="F811" s="5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5"/>
      <c r="F812" s="5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5"/>
      <c r="F813" s="5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5"/>
      <c r="F814" s="5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5"/>
      <c r="F815" s="5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5"/>
      <c r="F816" s="5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5"/>
      <c r="F817" s="5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5"/>
      <c r="F818" s="5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5"/>
      <c r="F819" s="5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5"/>
      <c r="F820" s="5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5"/>
      <c r="F821" s="5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5"/>
      <c r="F822" s="5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5"/>
      <c r="F823" s="5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5"/>
      <c r="F824" s="5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5"/>
      <c r="F825" s="5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5"/>
      <c r="F826" s="5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5"/>
      <c r="F827" s="5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5"/>
      <c r="F828" s="5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5"/>
      <c r="F829" s="5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5"/>
      <c r="F830" s="5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5"/>
      <c r="F831" s="5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5"/>
      <c r="F832" s="5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5"/>
      <c r="F833" s="5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5"/>
      <c r="F834" s="5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5"/>
      <c r="F835" s="5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5"/>
      <c r="F836" s="5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5"/>
      <c r="F837" s="5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5"/>
      <c r="F838" s="5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5"/>
      <c r="F839" s="5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5"/>
      <c r="F840" s="5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5"/>
      <c r="F841" s="5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5"/>
      <c r="F842" s="5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5"/>
      <c r="F843" s="5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5"/>
      <c r="F844" s="5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5"/>
      <c r="F845" s="5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5"/>
      <c r="F846" s="5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5"/>
      <c r="F847" s="5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5"/>
      <c r="F848" s="5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5"/>
      <c r="F849" s="5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5"/>
      <c r="F850" s="5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5"/>
      <c r="F851" s="5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5"/>
      <c r="F852" s="5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5"/>
      <c r="F853" s="5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5"/>
      <c r="F854" s="5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5"/>
      <c r="F855" s="5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5"/>
      <c r="F856" s="5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5"/>
      <c r="F857" s="5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5"/>
      <c r="F858" s="5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5"/>
      <c r="F859" s="5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5"/>
      <c r="F860" s="5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5"/>
      <c r="F861" s="5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5"/>
      <c r="F862" s="5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5"/>
      <c r="F863" s="5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5"/>
      <c r="F864" s="5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5"/>
      <c r="F865" s="5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5"/>
      <c r="F866" s="5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5"/>
      <c r="F867" s="5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5"/>
      <c r="F868" s="5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5"/>
      <c r="F869" s="5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5"/>
      <c r="F870" s="5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5"/>
      <c r="F871" s="5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5"/>
      <c r="F872" s="5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5"/>
      <c r="F873" s="5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5"/>
      <c r="F874" s="5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5"/>
      <c r="F875" s="5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5"/>
      <c r="F876" s="5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5"/>
      <c r="F877" s="5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5"/>
      <c r="F878" s="5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5"/>
      <c r="F879" s="5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5"/>
      <c r="F880" s="5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5"/>
      <c r="F881" s="5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5"/>
      <c r="F882" s="5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5"/>
      <c r="F883" s="5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5"/>
      <c r="F884" s="5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5"/>
      <c r="F885" s="5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5"/>
      <c r="F886" s="5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5"/>
      <c r="F887" s="5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5"/>
      <c r="F888" s="5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5"/>
      <c r="F889" s="5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5"/>
      <c r="F890" s="5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5"/>
      <c r="F891" s="5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5"/>
      <c r="F892" s="5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5"/>
      <c r="F893" s="5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5"/>
      <c r="F894" s="5"/>
      <c r="G894" s="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5"/>
      <c r="F895" s="5"/>
      <c r="G895" s="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5"/>
      <c r="F896" s="5"/>
      <c r="G896" s="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5"/>
      <c r="F897" s="5"/>
      <c r="G897" s="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5"/>
      <c r="F898" s="5"/>
      <c r="G898" s="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5"/>
      <c r="F899" s="5"/>
      <c r="G899" s="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5"/>
      <c r="F900" s="5"/>
      <c r="G900" s="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5"/>
      <c r="F901" s="5"/>
      <c r="G901" s="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5"/>
      <c r="F902" s="5"/>
      <c r="G902" s="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5"/>
      <c r="F903" s="5"/>
      <c r="G903" s="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5"/>
      <c r="F904" s="5"/>
      <c r="G904" s="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5"/>
      <c r="F905" s="5"/>
      <c r="G905" s="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5"/>
      <c r="F906" s="5"/>
      <c r="G906" s="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5"/>
      <c r="F907" s="5"/>
      <c r="G907" s="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5"/>
      <c r="F908" s="5"/>
      <c r="G908" s="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5"/>
      <c r="F909" s="5"/>
      <c r="G909" s="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5"/>
      <c r="F910" s="5"/>
      <c r="G910" s="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5"/>
      <c r="F911" s="5"/>
      <c r="G911" s="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5"/>
      <c r="F912" s="5"/>
      <c r="G912" s="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5"/>
      <c r="F913" s="5"/>
      <c r="G913" s="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5"/>
      <c r="F914" s="5"/>
      <c r="G914" s="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5"/>
      <c r="F915" s="5"/>
      <c r="G915" s="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5"/>
      <c r="F916" s="5"/>
      <c r="G916" s="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5"/>
      <c r="F917" s="5"/>
      <c r="G917" s="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5"/>
      <c r="F918" s="5"/>
      <c r="G918" s="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5"/>
      <c r="F919" s="5"/>
      <c r="G919" s="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5"/>
      <c r="F920" s="5"/>
      <c r="G920" s="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5"/>
      <c r="F921" s="5"/>
      <c r="G921" s="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5"/>
      <c r="F922" s="5"/>
      <c r="G922" s="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5"/>
      <c r="F923" s="5"/>
      <c r="G923" s="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5"/>
      <c r="F924" s="5"/>
      <c r="G924" s="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5"/>
      <c r="F925" s="5"/>
      <c r="G925" s="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5"/>
      <c r="F926" s="5"/>
      <c r="G926" s="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5"/>
      <c r="F927" s="5"/>
      <c r="G927" s="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5"/>
      <c r="F928" s="5"/>
      <c r="G928" s="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5"/>
      <c r="F929" s="5"/>
      <c r="G929" s="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5"/>
      <c r="F930" s="5"/>
      <c r="G930" s="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5"/>
      <c r="F931" s="5"/>
      <c r="G931" s="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5"/>
      <c r="F932" s="5"/>
      <c r="G932" s="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5"/>
      <c r="F933" s="5"/>
      <c r="G933" s="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5"/>
      <c r="F934" s="5"/>
      <c r="G934" s="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5"/>
      <c r="F935" s="5"/>
      <c r="G935" s="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5"/>
      <c r="F936" s="5"/>
      <c r="G936" s="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5"/>
      <c r="F937" s="5"/>
      <c r="G937" s="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5"/>
      <c r="F938" s="5"/>
      <c r="G938" s="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5"/>
      <c r="F939" s="5"/>
      <c r="G939" s="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5"/>
      <c r="F940" s="5"/>
      <c r="G940" s="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5"/>
      <c r="F941" s="5"/>
      <c r="G941" s="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5"/>
      <c r="F942" s="5"/>
      <c r="G942" s="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5"/>
      <c r="F943" s="5"/>
      <c r="G943" s="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5"/>
      <c r="F944" s="5"/>
      <c r="G944" s="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5"/>
      <c r="F945" s="5"/>
      <c r="G945" s="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5"/>
      <c r="F946" s="5"/>
      <c r="G946" s="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5"/>
      <c r="F947" s="5"/>
      <c r="G947" s="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5"/>
      <c r="F948" s="5"/>
      <c r="G948" s="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5"/>
      <c r="F949" s="5"/>
      <c r="G949" s="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5"/>
      <c r="F950" s="5"/>
      <c r="G950" s="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5"/>
      <c r="F951" s="5"/>
      <c r="G951" s="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5"/>
      <c r="F952" s="5"/>
      <c r="G952" s="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5"/>
      <c r="F953" s="5"/>
      <c r="G953" s="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5"/>
      <c r="F954" s="5"/>
      <c r="G954" s="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5"/>
      <c r="F955" s="5"/>
      <c r="G955" s="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5"/>
      <c r="F956" s="5"/>
      <c r="G956" s="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5"/>
      <c r="F957" s="5"/>
      <c r="G957" s="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5"/>
      <c r="F958" s="5"/>
      <c r="G958" s="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5"/>
      <c r="F959" s="5"/>
      <c r="G959" s="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5"/>
      <c r="F960" s="5"/>
      <c r="G960" s="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5"/>
      <c r="F961" s="5"/>
      <c r="G961" s="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5"/>
      <c r="F962" s="5"/>
      <c r="G962" s="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5"/>
      <c r="F963" s="5"/>
      <c r="G963" s="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5"/>
      <c r="F964" s="5"/>
      <c r="G964" s="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5"/>
      <c r="F965" s="5"/>
      <c r="G965" s="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5"/>
      <c r="F966" s="5"/>
      <c r="G966" s="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5"/>
      <c r="F967" s="5"/>
      <c r="G967" s="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5"/>
      <c r="F968" s="5"/>
      <c r="G968" s="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5"/>
      <c r="F969" s="5"/>
      <c r="G969" s="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5"/>
      <c r="F970" s="5"/>
      <c r="G970" s="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5"/>
      <c r="F971" s="5"/>
      <c r="G971" s="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5"/>
      <c r="F972" s="5"/>
      <c r="G972" s="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5"/>
      <c r="F973" s="5"/>
      <c r="G973" s="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5"/>
      <c r="F974" s="5"/>
      <c r="G974" s="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5"/>
      <c r="F975" s="5"/>
      <c r="G975" s="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5"/>
      <c r="F976" s="5"/>
      <c r="G976" s="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5"/>
      <c r="F977" s="5"/>
      <c r="G977" s="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5"/>
      <c r="F978" s="5"/>
      <c r="G978" s="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5"/>
      <c r="F979" s="5"/>
      <c r="G979" s="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5"/>
      <c r="F980" s="5"/>
      <c r="G980" s="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5"/>
      <c r="F981" s="5"/>
      <c r="G981" s="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5"/>
      <c r="F982" s="5"/>
      <c r="G982" s="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5"/>
      <c r="F983" s="5"/>
      <c r="G983" s="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5"/>
      <c r="F984" s="5"/>
      <c r="G984" s="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5"/>
      <c r="F985" s="5"/>
      <c r="G985" s="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5"/>
      <c r="F986" s="5"/>
      <c r="G986" s="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5"/>
      <c r="F987" s="5"/>
      <c r="G987" s="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5"/>
      <c r="F988" s="5"/>
      <c r="G988" s="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5"/>
      <c r="F989" s="5"/>
      <c r="G989" s="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5"/>
      <c r="F990" s="5"/>
      <c r="G990" s="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5"/>
      <c r="F991" s="5"/>
      <c r="G991" s="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5"/>
      <c r="F992" s="5"/>
      <c r="G992" s="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5"/>
      <c r="F993" s="5"/>
      <c r="G993" s="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5"/>
      <c r="F994" s="5"/>
      <c r="G994" s="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5"/>
      <c r="F995" s="5"/>
      <c r="G995" s="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5"/>
      <c r="F996" s="5"/>
      <c r="G996" s="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5"/>
      <c r="F997" s="5"/>
      <c r="G997" s="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5"/>
      <c r="F998" s="5"/>
      <c r="G998" s="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5"/>
      <c r="F999" s="5"/>
      <c r="G999" s="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5"/>
      <c r="G1000" s="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500"/>
  <dataValidations>
    <dataValidation type="list" allowBlank="1" showErrorMessage="1" sqref="H2:H4">
      <formula1>$A$2:$A$101</formula1>
    </dataValidation>
  </dataValidations>
  <printOptions/>
  <pageMargins bottom="0.787401575" footer="0.0" header="0.0" left="0.511811024" right="0.511811024" top="0.787401575"/>
  <pageSetup orientation="landscape"/>
  <drawing r:id="rId1"/>
</worksheet>
</file>