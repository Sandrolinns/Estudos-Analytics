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CX1" sheetId="1" r:id="rId5"/>
    <sheet state="visible" name="PROCX2" sheetId="2" r:id="rId6"/>
    <sheet state="visible" name="PROCX3" sheetId="3" r:id="rId7"/>
    <sheet state="visible" name="PROCX4" sheetId="4" r:id="rId8"/>
    <sheet state="visible" name="PROCX5" sheetId="5" r:id="rId9"/>
  </sheets>
  <definedNames>
    <definedName hidden="1" localSheetId="2" name="_xlnm._FilterDatabase">PROCX3!$A$1:$D$101</definedName>
    <definedName hidden="1" localSheetId="3" name="_xlnm._FilterDatabase">PROCX4!$A$1:$D$500</definedName>
    <definedName hidden="1" localSheetId="4" name="_xlnm._FilterDatabase">PROCX5!$A$1:$D$500</definedName>
  </definedNames>
  <calcPr/>
</workbook>
</file>

<file path=xl/sharedStrings.xml><?xml version="1.0" encoding="utf-8"?>
<sst xmlns="http://schemas.openxmlformats.org/spreadsheetml/2006/main" count="1223" uniqueCount="301">
  <si>
    <t>Produto</t>
  </si>
  <si>
    <t>Código</t>
  </si>
  <si>
    <t>Estoque</t>
  </si>
  <si>
    <t>Marca</t>
  </si>
  <si>
    <t>Produto 1</t>
  </si>
  <si>
    <t>H9699</t>
  </si>
  <si>
    <t>Delta</t>
  </si>
  <si>
    <t>H9486</t>
  </si>
  <si>
    <t>Produto 2</t>
  </si>
  <si>
    <t>H4124</t>
  </si>
  <si>
    <t>Beta</t>
  </si>
  <si>
    <t>Produto 3</t>
  </si>
  <si>
    <t>H9159</t>
  </si>
  <si>
    <t>Alpha</t>
  </si>
  <si>
    <t>Produto 4</t>
  </si>
  <si>
    <t>H5182</t>
  </si>
  <si>
    <t>Produto 5</t>
  </si>
  <si>
    <t>H8546</t>
  </si>
  <si>
    <t>Produto 6</t>
  </si>
  <si>
    <t>H2689</t>
  </si>
  <si>
    <t>Produto 7</t>
  </si>
  <si>
    <t>H6241</t>
  </si>
  <si>
    <t>Produto 8</t>
  </si>
  <si>
    <t>H5151</t>
  </si>
  <si>
    <t>Produto 9</t>
  </si>
  <si>
    <t>H2124</t>
  </si>
  <si>
    <t>Produto 10</t>
  </si>
  <si>
    <t>H1816</t>
  </si>
  <si>
    <t>Produto 11</t>
  </si>
  <si>
    <t>H5322</t>
  </si>
  <si>
    <t>Produto 12</t>
  </si>
  <si>
    <t>H9287</t>
  </si>
  <si>
    <t>Produto 13</t>
  </si>
  <si>
    <t>H1935</t>
  </si>
  <si>
    <t>Produto 14</t>
  </si>
  <si>
    <t>H7898</t>
  </si>
  <si>
    <t>Produto 15</t>
  </si>
  <si>
    <t>H8237</t>
  </si>
  <si>
    <t>Produto 16</t>
  </si>
  <si>
    <t>H1186</t>
  </si>
  <si>
    <t>Produto 17</t>
  </si>
  <si>
    <t>H7655</t>
  </si>
  <si>
    <t>Produto 18</t>
  </si>
  <si>
    <t>H8884</t>
  </si>
  <si>
    <t>Produto 19</t>
  </si>
  <si>
    <t>H7141</t>
  </si>
  <si>
    <t>Produto 20</t>
  </si>
  <si>
    <t>H6586</t>
  </si>
  <si>
    <t>Produto 21</t>
  </si>
  <si>
    <t>Produto 22</t>
  </si>
  <si>
    <t>H1842</t>
  </si>
  <si>
    <t>Produto 23</t>
  </si>
  <si>
    <t>H6347</t>
  </si>
  <si>
    <t>Produto 24</t>
  </si>
  <si>
    <t>H9426</t>
  </si>
  <si>
    <t>Produto 25</t>
  </si>
  <si>
    <t>H7665</t>
  </si>
  <si>
    <t>Produto 26</t>
  </si>
  <si>
    <t>H1844</t>
  </si>
  <si>
    <t>Produto 27</t>
  </si>
  <si>
    <t>H3976</t>
  </si>
  <si>
    <t>Produto 28</t>
  </si>
  <si>
    <t>H8696</t>
  </si>
  <si>
    <t>Produto 29</t>
  </si>
  <si>
    <t>H1432</t>
  </si>
  <si>
    <t>Produto 30</t>
  </si>
  <si>
    <t>H5574</t>
  </si>
  <si>
    <t>Produto 31</t>
  </si>
  <si>
    <t>H4892</t>
  </si>
  <si>
    <t>Produto 32</t>
  </si>
  <si>
    <t>H4973</t>
  </si>
  <si>
    <t>Produto 33</t>
  </si>
  <si>
    <t>H6628</t>
  </si>
  <si>
    <t>Produto 34</t>
  </si>
  <si>
    <t>H5613</t>
  </si>
  <si>
    <t>Produto 35</t>
  </si>
  <si>
    <t>H2297</t>
  </si>
  <si>
    <t>Produto 36</t>
  </si>
  <si>
    <t>H8993</t>
  </si>
  <si>
    <t>Produto 37</t>
  </si>
  <si>
    <t>H1467</t>
  </si>
  <si>
    <t>Produto 38</t>
  </si>
  <si>
    <t>H2417</t>
  </si>
  <si>
    <t>Produto 39</t>
  </si>
  <si>
    <t>H1499</t>
  </si>
  <si>
    <t>Produto 40</t>
  </si>
  <si>
    <t>H6936</t>
  </si>
  <si>
    <t>Produto 41</t>
  </si>
  <si>
    <t>H7251</t>
  </si>
  <si>
    <t>Produto 42</t>
  </si>
  <si>
    <t>H7257</t>
  </si>
  <si>
    <t>Produto 43</t>
  </si>
  <si>
    <t>H3468</t>
  </si>
  <si>
    <t>Produto 44</t>
  </si>
  <si>
    <t>H6561</t>
  </si>
  <si>
    <t>Produto 45</t>
  </si>
  <si>
    <t>H3366</t>
  </si>
  <si>
    <t>Produto 46</t>
  </si>
  <si>
    <t>H4864</t>
  </si>
  <si>
    <t>Produto 47</t>
  </si>
  <si>
    <t>H8918</t>
  </si>
  <si>
    <t>Produto 48</t>
  </si>
  <si>
    <t>H8815</t>
  </si>
  <si>
    <t>Produto 49</t>
  </si>
  <si>
    <t>H9869</t>
  </si>
  <si>
    <t>Produto 50</t>
  </si>
  <si>
    <t>H3227</t>
  </si>
  <si>
    <t>Produto 51</t>
  </si>
  <si>
    <t>H4863</t>
  </si>
  <si>
    <t>Produto 52</t>
  </si>
  <si>
    <t>H4487</t>
  </si>
  <si>
    <t>Produto 53</t>
  </si>
  <si>
    <t>H5788</t>
  </si>
  <si>
    <t>Produto 54</t>
  </si>
  <si>
    <t>H6924</t>
  </si>
  <si>
    <t>Produto 55</t>
  </si>
  <si>
    <t>H4777</t>
  </si>
  <si>
    <t>Produto 56</t>
  </si>
  <si>
    <t>H7264</t>
  </si>
  <si>
    <t>Produto 57</t>
  </si>
  <si>
    <t>H4455</t>
  </si>
  <si>
    <t>Produto 58</t>
  </si>
  <si>
    <t>H3393</t>
  </si>
  <si>
    <t>Produto 59</t>
  </si>
  <si>
    <t>H2641</t>
  </si>
  <si>
    <t>Produto 60</t>
  </si>
  <si>
    <t>H4758</t>
  </si>
  <si>
    <t>Produto 61</t>
  </si>
  <si>
    <t>H5417</t>
  </si>
  <si>
    <t>Produto 62</t>
  </si>
  <si>
    <t>H7368</t>
  </si>
  <si>
    <t>Produto 63</t>
  </si>
  <si>
    <t>H5259</t>
  </si>
  <si>
    <t>Produto 64</t>
  </si>
  <si>
    <t>H2697</t>
  </si>
  <si>
    <t>Produto 65</t>
  </si>
  <si>
    <t>H5183</t>
  </si>
  <si>
    <t>Produto 66</t>
  </si>
  <si>
    <t>H9747</t>
  </si>
  <si>
    <t>Produto 67</t>
  </si>
  <si>
    <t>H1674</t>
  </si>
  <si>
    <t>Produto 68</t>
  </si>
  <si>
    <t>H2424</t>
  </si>
  <si>
    <t>Produto 69</t>
  </si>
  <si>
    <t>H2783</t>
  </si>
  <si>
    <t>Produto 70</t>
  </si>
  <si>
    <t>H8413</t>
  </si>
  <si>
    <t>Produto 71</t>
  </si>
  <si>
    <t>H2274</t>
  </si>
  <si>
    <t>Produto 72</t>
  </si>
  <si>
    <t>H9217</t>
  </si>
  <si>
    <t>Produto 73</t>
  </si>
  <si>
    <t>H3989</t>
  </si>
  <si>
    <t>Produto 74</t>
  </si>
  <si>
    <t>H2925</t>
  </si>
  <si>
    <t>Produto 75</t>
  </si>
  <si>
    <t>H2161</t>
  </si>
  <si>
    <t>Produto 76</t>
  </si>
  <si>
    <t>H3561</t>
  </si>
  <si>
    <t>Produto 77</t>
  </si>
  <si>
    <t>H1852</t>
  </si>
  <si>
    <t>Produto 78</t>
  </si>
  <si>
    <t>H5167</t>
  </si>
  <si>
    <t>Produto 79</t>
  </si>
  <si>
    <t>H8198</t>
  </si>
  <si>
    <t>Produto 80</t>
  </si>
  <si>
    <t>H5841</t>
  </si>
  <si>
    <t>Produto 81</t>
  </si>
  <si>
    <t>H6727</t>
  </si>
  <si>
    <t>Produto 82</t>
  </si>
  <si>
    <t>H4679</t>
  </si>
  <si>
    <t>Produto 83</t>
  </si>
  <si>
    <t>H3323</t>
  </si>
  <si>
    <t>Produto 84</t>
  </si>
  <si>
    <t>H6454</t>
  </si>
  <si>
    <t>Produto 85</t>
  </si>
  <si>
    <t>H7614</t>
  </si>
  <si>
    <t>Produto 86</t>
  </si>
  <si>
    <t>H2189</t>
  </si>
  <si>
    <t>Produto 87</t>
  </si>
  <si>
    <t>H8439</t>
  </si>
  <si>
    <t>Produto 88</t>
  </si>
  <si>
    <t>H2352</t>
  </si>
  <si>
    <t>Produto 89</t>
  </si>
  <si>
    <t>H4776</t>
  </si>
  <si>
    <t>Produto 90</t>
  </si>
  <si>
    <t>H4633</t>
  </si>
  <si>
    <t>Produto 91</t>
  </si>
  <si>
    <t>H6151</t>
  </si>
  <si>
    <t>Produto 92</t>
  </si>
  <si>
    <t>H5484</t>
  </si>
  <si>
    <t>Produto 93</t>
  </si>
  <si>
    <t>H5888</t>
  </si>
  <si>
    <t>Produto 94</t>
  </si>
  <si>
    <t>H1418</t>
  </si>
  <si>
    <t>Produto 95</t>
  </si>
  <si>
    <t>H3995</t>
  </si>
  <si>
    <t>Produto 96</t>
  </si>
  <si>
    <t>H4492</t>
  </si>
  <si>
    <t>Produto 97</t>
  </si>
  <si>
    <t>H2383</t>
  </si>
  <si>
    <t>Produto 98</t>
  </si>
  <si>
    <t>H4138</t>
  </si>
  <si>
    <t>Produto 99</t>
  </si>
  <si>
    <t>H2391</t>
  </si>
  <si>
    <t>Produto 100</t>
  </si>
  <si>
    <t>H9434</t>
  </si>
  <si>
    <t>Código1</t>
  </si>
  <si>
    <t>Código2</t>
  </si>
  <si>
    <t>O7419</t>
  </si>
  <si>
    <t>T5235</t>
  </si>
  <si>
    <t>L5213</t>
  </si>
  <si>
    <t>V6995</t>
  </si>
  <si>
    <t>O1496</t>
  </si>
  <si>
    <t>L9361</t>
  </si>
  <si>
    <t>L5221</t>
  </si>
  <si>
    <t>O1193</t>
  </si>
  <si>
    <t>K6331</t>
  </si>
  <si>
    <t>K3227</t>
  </si>
  <si>
    <t>O8194</t>
  </si>
  <si>
    <t>V5889</t>
  </si>
  <si>
    <t>L8539</t>
  </si>
  <si>
    <t>Mínimo</t>
  </si>
  <si>
    <t>Máximo</t>
  </si>
  <si>
    <t>Nível</t>
  </si>
  <si>
    <t>Nível A</t>
  </si>
  <si>
    <t>Nível B</t>
  </si>
  <si>
    <t>Nível C</t>
  </si>
  <si>
    <t>Nível D</t>
  </si>
  <si>
    <t>Nível E</t>
  </si>
  <si>
    <t>-</t>
  </si>
  <si>
    <t>Nível F</t>
  </si>
  <si>
    <t>Data Entrada</t>
  </si>
  <si>
    <t>Projeto</t>
  </si>
  <si>
    <t>Funcionário</t>
  </si>
  <si>
    <t>Status</t>
  </si>
  <si>
    <t>Luiza Melo</t>
  </si>
  <si>
    <t>Projeto 30</t>
  </si>
  <si>
    <t>Concluído</t>
  </si>
  <si>
    <t>Rebeca Dias</t>
  </si>
  <si>
    <t>Projeto 32</t>
  </si>
  <si>
    <t>Fernado Torres</t>
  </si>
  <si>
    <r>
      <rPr>
        <rFont val="Calibri"/>
        <color theme="1"/>
        <sz val="12.0"/>
      </rPr>
      <t>Projeto</t>
    </r>
    <r>
      <rPr>
        <rFont val="Calibri"/>
        <b/>
        <color theme="1"/>
        <sz val="12.0"/>
      </rPr>
      <t xml:space="preserve"> Inicial</t>
    </r>
  </si>
  <si>
    <t>Projeto 8</t>
  </si>
  <si>
    <t>Nota Fiscal</t>
  </si>
  <si>
    <t>Pedro Martins</t>
  </si>
  <si>
    <t>Projeto 29</t>
  </si>
  <si>
    <t>Negociando</t>
  </si>
  <si>
    <t>Projeto 36</t>
  </si>
  <si>
    <t>Projeto 14</t>
  </si>
  <si>
    <r>
      <rPr>
        <rFont val="Calibri"/>
        <color theme="1"/>
        <sz val="12.0"/>
      </rPr>
      <t>Projeto</t>
    </r>
    <r>
      <rPr>
        <rFont val="Calibri"/>
        <b/>
        <color theme="1"/>
        <sz val="12.0"/>
      </rPr>
      <t xml:space="preserve"> Final</t>
    </r>
  </si>
  <si>
    <t>Projeto 12</t>
  </si>
  <si>
    <t>Projeto 49</t>
  </si>
  <si>
    <t>Projeto 11</t>
  </si>
  <si>
    <t>Projeto 15</t>
  </si>
  <si>
    <t>Projeto 31</t>
  </si>
  <si>
    <t>Encerrado</t>
  </si>
  <si>
    <t>Projeto 42</t>
  </si>
  <si>
    <t>Projeto 10</t>
  </si>
  <si>
    <t>Projeto 45</t>
  </si>
  <si>
    <t>Projeto 7</t>
  </si>
  <si>
    <t>Projeto 13</t>
  </si>
  <si>
    <t>Projeto 4</t>
  </si>
  <si>
    <t>Projeto 2</t>
  </si>
  <si>
    <t>Projeto 23</t>
  </si>
  <si>
    <t>Projeto 6</t>
  </si>
  <si>
    <t>Projeto 22</t>
  </si>
  <si>
    <t>Projeto 47</t>
  </si>
  <si>
    <t>Contrato</t>
  </si>
  <si>
    <t>Projeto 37</t>
  </si>
  <si>
    <t>Projeto 46</t>
  </si>
  <si>
    <t>Projeto 48</t>
  </si>
  <si>
    <t>Projeto 19</t>
  </si>
  <si>
    <t>Projeto 16</t>
  </si>
  <si>
    <t>Projeto 26</t>
  </si>
  <si>
    <t>Projeto 43</t>
  </si>
  <si>
    <t>Projeto 33</t>
  </si>
  <si>
    <t>Projeto 21</t>
  </si>
  <si>
    <t>Projeto 25</t>
  </si>
  <si>
    <t>Projeto 27</t>
  </si>
  <si>
    <t>Projeto 1</t>
  </si>
  <si>
    <t>Projeto 28</t>
  </si>
  <si>
    <t>Projeto 39</t>
  </si>
  <si>
    <t>Projeto 38</t>
  </si>
  <si>
    <t>Projeto 17</t>
  </si>
  <si>
    <t>Projeto 24</t>
  </si>
  <si>
    <t>Projeto 18</t>
  </si>
  <si>
    <t>Projeto 20</t>
  </si>
  <si>
    <t>Projeto 5</t>
  </si>
  <si>
    <t>Projeto 34</t>
  </si>
  <si>
    <t>Projeto 35</t>
  </si>
  <si>
    <t>Projeto 3</t>
  </si>
  <si>
    <t>Projeto 44</t>
  </si>
  <si>
    <t>Projeto 41</t>
  </si>
  <si>
    <t>Projeto 9</t>
  </si>
  <si>
    <t>Projeto 40</t>
  </si>
  <si>
    <t>2015</t>
  </si>
  <si>
    <t>2016</t>
  </si>
  <si>
    <t>2017</t>
  </si>
  <si>
    <t>2018</t>
  </si>
  <si>
    <t>2019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</si>
</sst>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R$&quot;#,##0"/>
    <numFmt numFmtId="165" formatCode="&quot;R$&quot;\ #,##0;[Red]\-&quot;R$&quot;\ #,##0"/>
    <numFmt numFmtId="166" formatCode="D/M/YYYY"/>
    <numFmt numFmtId="167" formatCode="&quot;R$&quot;\ #,##0"/>
  </numFmts>
  <fonts count="6">
    <font>
      <sz val="11.0"/>
      <color theme="1"/>
      <name val="Calibri"/>
      <scheme val="minor"/>
    </font>
    <font>
      <sz val="12.0"/>
      <color theme="0"/>
      <name val="Calibri"/>
    </font>
    <font>
      <sz val="12.0"/>
      <color theme="1"/>
      <name val="Calibri"/>
    </font>
    <font>
      <b/>
      <sz val="12.0"/>
      <color theme="1"/>
      <name val="Calibri"/>
    </font>
    <font>
      <b/>
      <sz val="12.0"/>
      <color theme="0"/>
      <name val="Calibri"/>
    </font>
    <font>
      <sz val="12.0"/>
      <color rgb="FFFFFFF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3F3F3F"/>
        <bgColor rgb="FF3F3F3F"/>
      </patternFill>
    </fill>
    <fill>
      <patternFill patternType="solid">
        <fgColor rgb="FFF2F2F2"/>
        <bgColor rgb="FFF2F2F2"/>
      </patternFill>
    </fill>
    <fill>
      <patternFill patternType="solid">
        <fgColor rgb="FF7F7F7F"/>
        <bgColor rgb="FF7F7F7F"/>
      </patternFill>
    </fill>
    <fill>
      <patternFill patternType="solid">
        <fgColor rgb="FFF4B083"/>
        <bgColor rgb="FFF4B083"/>
      </patternFill>
    </fill>
    <fill>
      <patternFill patternType="solid">
        <fgColor rgb="FFA8D08D"/>
        <bgColor rgb="FFA8D08D"/>
      </patternFill>
    </fill>
    <fill>
      <patternFill patternType="solid">
        <fgColor rgb="FFD8D8D8"/>
        <bgColor rgb="FFD8D8D8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0" fillId="0" fontId="2" numFmtId="0" xfId="0" applyFont="1"/>
    <xf borderId="2" fillId="2" fontId="1" numFmtId="0" xfId="0" applyAlignment="1" applyBorder="1" applyFont="1">
      <alignment horizontal="center"/>
    </xf>
    <xf borderId="2" fillId="3" fontId="3" numFmtId="0" xfId="0" applyAlignment="1" applyBorder="1" applyFill="1" applyFont="1">
      <alignment horizontal="center"/>
    </xf>
    <xf borderId="0" fillId="0" fontId="2" numFmtId="0" xfId="0" applyAlignment="1" applyFont="1">
      <alignment horizontal="left"/>
    </xf>
    <xf borderId="0" fillId="0" fontId="2" numFmtId="3" xfId="0" applyAlignment="1" applyFont="1" applyNumberFormat="1">
      <alignment horizontal="left"/>
    </xf>
    <xf borderId="2" fillId="4" fontId="4" numFmtId="0" xfId="0" applyAlignment="1" applyBorder="1" applyFill="1" applyFont="1">
      <alignment horizontal="center"/>
    </xf>
    <xf borderId="2" fillId="0" fontId="2" numFmtId="3" xfId="0" applyAlignment="1" applyBorder="1" applyFont="1" applyNumberFormat="1">
      <alignment horizontal="center"/>
    </xf>
    <xf borderId="2" fillId="0" fontId="2" numFmtId="0" xfId="0" applyAlignment="1" applyBorder="1" applyFont="1">
      <alignment horizontal="center"/>
    </xf>
    <xf borderId="0" fillId="0" fontId="2" numFmtId="164" xfId="0" applyAlignment="1" applyFont="1" applyNumberFormat="1">
      <alignment horizontal="left"/>
    </xf>
    <xf borderId="1" fillId="4" fontId="1" numFmtId="0" xfId="0" applyAlignment="1" applyBorder="1" applyFont="1">
      <alignment horizontal="left"/>
    </xf>
    <xf borderId="1" fillId="3" fontId="3" numFmtId="0" xfId="0" applyAlignment="1" applyBorder="1" applyFont="1">
      <alignment horizontal="left"/>
    </xf>
    <xf borderId="1" fillId="2" fontId="5" numFmtId="0" xfId="0" applyAlignment="1" applyBorder="1" applyFont="1">
      <alignment readingOrder="0"/>
    </xf>
    <xf borderId="1" fillId="5" fontId="3" numFmtId="0" xfId="0" applyAlignment="1" applyBorder="1" applyFill="1" applyFont="1">
      <alignment horizontal="center"/>
    </xf>
    <xf borderId="1" fillId="6" fontId="3" numFmtId="0" xfId="0" applyAlignment="1" applyBorder="1" applyFill="1" applyFont="1">
      <alignment horizontal="center"/>
    </xf>
    <xf borderId="0" fillId="0" fontId="2" numFmtId="16" xfId="0" applyAlignment="1" applyFont="1" applyNumberFormat="1">
      <alignment horizontal="left"/>
    </xf>
    <xf borderId="1" fillId="3" fontId="3" numFmtId="165" xfId="0" applyAlignment="1" applyBorder="1" applyFont="1" applyNumberFormat="1">
      <alignment horizontal="left"/>
    </xf>
    <xf borderId="0" fillId="0" fontId="2" numFmtId="166" xfId="0" applyAlignment="1" applyFont="1" applyNumberFormat="1">
      <alignment horizontal="left"/>
    </xf>
    <xf borderId="2" fillId="3" fontId="2" numFmtId="0" xfId="0" applyAlignment="1" applyBorder="1" applyFont="1">
      <alignment horizontal="left"/>
    </xf>
    <xf borderId="2" fillId="0" fontId="2" numFmtId="165" xfId="0" applyAlignment="1" applyBorder="1" applyFont="1" applyNumberFormat="1">
      <alignment horizontal="left"/>
    </xf>
    <xf borderId="2" fillId="0" fontId="2" numFmtId="166" xfId="0" applyAlignment="1" applyBorder="1" applyFont="1" applyNumberFormat="1">
      <alignment horizontal="left"/>
    </xf>
    <xf borderId="2" fillId="0" fontId="2" numFmtId="164" xfId="0" applyAlignment="1" applyBorder="1" applyFont="1" applyNumberFormat="1">
      <alignment horizontal="left"/>
    </xf>
    <xf borderId="2" fillId="0" fontId="2" numFmtId="0" xfId="0" applyAlignment="1" applyBorder="1" applyFont="1">
      <alignment horizontal="left"/>
    </xf>
    <xf borderId="2" fillId="4" fontId="4" numFmtId="0" xfId="0" applyAlignment="1" applyBorder="1" applyFont="1">
      <alignment horizontal="left"/>
    </xf>
    <xf borderId="2" fillId="2" fontId="4" numFmtId="0" xfId="0" applyAlignment="1" applyBorder="1" applyFont="1">
      <alignment horizontal="center"/>
    </xf>
    <xf borderId="0" fillId="0" fontId="2" numFmtId="167" xfId="0" applyAlignment="1" applyFont="1" applyNumberFormat="1">
      <alignment horizontal="left"/>
    </xf>
    <xf borderId="2" fillId="7" fontId="2" numFmtId="167" xfId="0" applyAlignment="1" applyBorder="1" applyFill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" width="13.57"/>
    <col customWidth="1" min="5" max="5" width="9.14"/>
    <col customWidth="1" min="6" max="8" width="15.0"/>
    <col customWidth="1" min="9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3" t="s">
        <v>1</v>
      </c>
      <c r="G1" s="4" t="s">
        <v>2</v>
      </c>
      <c r="H1" s="4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4</v>
      </c>
      <c r="B2" s="2" t="s">
        <v>5</v>
      </c>
      <c r="C2" s="6">
        <v>2434.0</v>
      </c>
      <c r="D2" s="5" t="s">
        <v>6</v>
      </c>
      <c r="E2" s="2"/>
      <c r="F2" s="7" t="s">
        <v>7</v>
      </c>
      <c r="G2" s="8">
        <f t="array" ref="G2">XLOOKUP(F2,B:B,C:C)</f>
        <v>819</v>
      </c>
      <c r="H2" s="9" t="str">
        <f t="array" ref="H2">XLOOKUP(F2,B:B,A:A)</f>
        <v>Produto 21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8</v>
      </c>
      <c r="B3" s="2" t="s">
        <v>9</v>
      </c>
      <c r="C3" s="6">
        <v>8222.0</v>
      </c>
      <c r="D3" s="5" t="s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11</v>
      </c>
      <c r="B4" s="2" t="s">
        <v>12</v>
      </c>
      <c r="C4" s="6">
        <v>1016.0</v>
      </c>
      <c r="D4" s="5" t="s">
        <v>13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14</v>
      </c>
      <c r="B5" s="2" t="s">
        <v>15</v>
      </c>
      <c r="C5" s="6">
        <v>6531.0</v>
      </c>
      <c r="D5" s="5" t="s">
        <v>13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16</v>
      </c>
      <c r="B6" s="2" t="s">
        <v>17</v>
      </c>
      <c r="C6" s="6">
        <v>8521.0</v>
      </c>
      <c r="D6" s="5" t="s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18</v>
      </c>
      <c r="B7" s="2" t="s">
        <v>19</v>
      </c>
      <c r="C7" s="6">
        <v>2924.0</v>
      </c>
      <c r="D7" s="5" t="s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20</v>
      </c>
      <c r="B8" s="2" t="s">
        <v>21</v>
      </c>
      <c r="C8" s="6">
        <v>1232.0</v>
      </c>
      <c r="D8" s="5" t="s">
        <v>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22</v>
      </c>
      <c r="B9" s="2" t="s">
        <v>23</v>
      </c>
      <c r="C9" s="6">
        <v>948.0</v>
      </c>
      <c r="D9" s="5" t="s">
        <v>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24</v>
      </c>
      <c r="B10" s="2" t="s">
        <v>25</v>
      </c>
      <c r="C10" s="6">
        <v>1750.0</v>
      </c>
      <c r="D10" s="5" t="s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 t="s">
        <v>26</v>
      </c>
      <c r="B11" s="2" t="s">
        <v>27</v>
      </c>
      <c r="C11" s="6">
        <v>7918.0</v>
      </c>
      <c r="D11" s="5" t="s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 t="s">
        <v>28</v>
      </c>
      <c r="B12" s="2" t="s">
        <v>29</v>
      </c>
      <c r="C12" s="6">
        <v>1370.0</v>
      </c>
      <c r="D12" s="5" t="s">
        <v>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30</v>
      </c>
      <c r="B13" s="2" t="s">
        <v>31</v>
      </c>
      <c r="C13" s="6">
        <v>9365.0</v>
      </c>
      <c r="D13" s="5" t="s">
        <v>13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 t="s">
        <v>32</v>
      </c>
      <c r="B14" s="2" t="s">
        <v>33</v>
      </c>
      <c r="C14" s="6">
        <v>6228.0</v>
      </c>
      <c r="D14" s="5" t="s">
        <v>13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 t="s">
        <v>34</v>
      </c>
      <c r="B15" s="2" t="s">
        <v>35</v>
      </c>
      <c r="C15" s="6">
        <v>1248.0</v>
      </c>
      <c r="D15" s="5" t="s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 t="s">
        <v>36</v>
      </c>
      <c r="B16" s="2" t="s">
        <v>37</v>
      </c>
      <c r="C16" s="6">
        <v>5828.0</v>
      </c>
      <c r="D16" s="5" t="s">
        <v>13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38</v>
      </c>
      <c r="B17" s="2" t="s">
        <v>39</v>
      </c>
      <c r="C17" s="6">
        <v>5701.0</v>
      </c>
      <c r="D17" s="5" t="s">
        <v>10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 t="s">
        <v>40</v>
      </c>
      <c r="B18" s="2" t="s">
        <v>41</v>
      </c>
      <c r="C18" s="6">
        <v>7500.0</v>
      </c>
      <c r="D18" s="5" t="s">
        <v>13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 t="s">
        <v>42</v>
      </c>
      <c r="B19" s="2" t="s">
        <v>43</v>
      </c>
      <c r="C19" s="6">
        <v>5565.0</v>
      </c>
      <c r="D19" s="5" t="s">
        <v>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 t="s">
        <v>44</v>
      </c>
      <c r="B20" s="2" t="s">
        <v>45</v>
      </c>
      <c r="C20" s="6">
        <v>5900.0</v>
      </c>
      <c r="D20" s="5" t="s">
        <v>10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" t="s">
        <v>46</v>
      </c>
      <c r="B21" s="2" t="s">
        <v>47</v>
      </c>
      <c r="C21" s="6">
        <v>608.0</v>
      </c>
      <c r="D21" s="5" t="s">
        <v>6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" t="s">
        <v>48</v>
      </c>
      <c r="B22" s="2" t="s">
        <v>7</v>
      </c>
      <c r="C22" s="6">
        <v>819.0</v>
      </c>
      <c r="D22" s="5" t="s">
        <v>13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" t="s">
        <v>49</v>
      </c>
      <c r="B23" s="2" t="s">
        <v>50</v>
      </c>
      <c r="C23" s="6">
        <v>564.0</v>
      </c>
      <c r="D23" s="5" t="s">
        <v>13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 t="s">
        <v>51</v>
      </c>
      <c r="B24" s="2" t="s">
        <v>52</v>
      </c>
      <c r="C24" s="6">
        <v>7861.0</v>
      </c>
      <c r="D24" s="5" t="s">
        <v>6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" t="s">
        <v>53</v>
      </c>
      <c r="B25" s="2" t="s">
        <v>54</v>
      </c>
      <c r="C25" s="6">
        <v>731.0</v>
      </c>
      <c r="D25" s="5" t="s">
        <v>6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" t="s">
        <v>55</v>
      </c>
      <c r="B26" s="2" t="s">
        <v>56</v>
      </c>
      <c r="C26" s="6">
        <v>7150.0</v>
      </c>
      <c r="D26" s="5" t="s">
        <v>10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" t="s">
        <v>57</v>
      </c>
      <c r="B27" s="2" t="s">
        <v>58</v>
      </c>
      <c r="C27" s="6">
        <v>9927.0</v>
      </c>
      <c r="D27" s="5" t="s">
        <v>6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" t="s">
        <v>59</v>
      </c>
      <c r="B28" s="2" t="s">
        <v>60</v>
      </c>
      <c r="C28" s="6">
        <v>2219.0</v>
      </c>
      <c r="D28" s="5" t="s">
        <v>10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" t="s">
        <v>61</v>
      </c>
      <c r="B29" s="2" t="s">
        <v>62</v>
      </c>
      <c r="C29" s="6">
        <v>3079.0</v>
      </c>
      <c r="D29" s="5" t="s">
        <v>13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" t="s">
        <v>63</v>
      </c>
      <c r="B30" s="2" t="s">
        <v>64</v>
      </c>
      <c r="C30" s="6">
        <v>7887.0</v>
      </c>
      <c r="D30" s="5" t="s">
        <v>10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" t="s">
        <v>65</v>
      </c>
      <c r="B31" s="2" t="s">
        <v>66</v>
      </c>
      <c r="C31" s="6">
        <v>6912.0</v>
      </c>
      <c r="D31" s="5" t="s">
        <v>6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" t="s">
        <v>67</v>
      </c>
      <c r="B32" s="2" t="s">
        <v>68</v>
      </c>
      <c r="C32" s="6">
        <v>6202.0</v>
      </c>
      <c r="D32" s="5" t="s">
        <v>10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5" t="s">
        <v>69</v>
      </c>
      <c r="B33" s="2" t="s">
        <v>70</v>
      </c>
      <c r="C33" s="6">
        <v>3042.0</v>
      </c>
      <c r="D33" s="5" t="s">
        <v>6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5" t="s">
        <v>71</v>
      </c>
      <c r="B34" s="2" t="s">
        <v>72</v>
      </c>
      <c r="C34" s="6">
        <v>1430.0</v>
      </c>
      <c r="D34" s="5" t="s">
        <v>10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5" t="s">
        <v>73</v>
      </c>
      <c r="B35" s="2" t="s">
        <v>74</v>
      </c>
      <c r="C35" s="6">
        <v>2892.0</v>
      </c>
      <c r="D35" s="5" t="s">
        <v>10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5" t="s">
        <v>75</v>
      </c>
      <c r="B36" s="2" t="s">
        <v>76</v>
      </c>
      <c r="C36" s="6">
        <v>9172.0</v>
      </c>
      <c r="D36" s="5" t="s">
        <v>13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5" t="s">
        <v>77</v>
      </c>
      <c r="B37" s="2" t="s">
        <v>78</v>
      </c>
      <c r="C37" s="6">
        <v>357.0</v>
      </c>
      <c r="D37" s="5" t="s">
        <v>10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5" t="s">
        <v>79</v>
      </c>
      <c r="B38" s="2" t="s">
        <v>80</v>
      </c>
      <c r="C38" s="6">
        <v>619.0</v>
      </c>
      <c r="D38" s="5" t="s">
        <v>6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5" t="s">
        <v>81</v>
      </c>
      <c r="B39" s="2" t="s">
        <v>82</v>
      </c>
      <c r="C39" s="6">
        <v>7088.0</v>
      </c>
      <c r="D39" s="5" t="s">
        <v>13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5" t="s">
        <v>83</v>
      </c>
      <c r="B40" s="2" t="s">
        <v>84</v>
      </c>
      <c r="C40" s="6">
        <v>9380.0</v>
      </c>
      <c r="D40" s="5" t="s">
        <v>10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5" t="s">
        <v>85</v>
      </c>
      <c r="B41" s="2" t="s">
        <v>86</v>
      </c>
      <c r="C41" s="6">
        <v>3330.0</v>
      </c>
      <c r="D41" s="5" t="s">
        <v>10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5" t="s">
        <v>87</v>
      </c>
      <c r="B42" s="2" t="s">
        <v>88</v>
      </c>
      <c r="C42" s="6">
        <v>9746.0</v>
      </c>
      <c r="D42" s="5" t="s">
        <v>13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5" t="s">
        <v>89</v>
      </c>
      <c r="B43" s="2" t="s">
        <v>90</v>
      </c>
      <c r="C43" s="6">
        <v>9226.0</v>
      </c>
      <c r="D43" s="5" t="s">
        <v>13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5" t="s">
        <v>91</v>
      </c>
      <c r="B44" s="2" t="s">
        <v>92</v>
      </c>
      <c r="C44" s="6">
        <v>5808.0</v>
      </c>
      <c r="D44" s="5" t="s">
        <v>13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5" t="s">
        <v>93</v>
      </c>
      <c r="B45" s="2" t="s">
        <v>94</v>
      </c>
      <c r="C45" s="6">
        <v>6838.0</v>
      </c>
      <c r="D45" s="5" t="s">
        <v>6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" t="s">
        <v>95</v>
      </c>
      <c r="B46" s="2" t="s">
        <v>96</v>
      </c>
      <c r="C46" s="6">
        <v>6330.0</v>
      </c>
      <c r="D46" s="5" t="s">
        <v>6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5" t="s">
        <v>97</v>
      </c>
      <c r="B47" s="2" t="s">
        <v>98</v>
      </c>
      <c r="C47" s="6">
        <v>701.0</v>
      </c>
      <c r="D47" s="5" t="s">
        <v>6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5" t="s">
        <v>99</v>
      </c>
      <c r="B48" s="2" t="s">
        <v>100</v>
      </c>
      <c r="C48" s="6">
        <v>7196.0</v>
      </c>
      <c r="D48" s="5" t="s">
        <v>10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5" t="s">
        <v>101</v>
      </c>
      <c r="B49" s="2" t="s">
        <v>102</v>
      </c>
      <c r="C49" s="6">
        <v>6864.0</v>
      </c>
      <c r="D49" s="5" t="s">
        <v>6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5" t="s">
        <v>103</v>
      </c>
      <c r="B50" s="2" t="s">
        <v>104</v>
      </c>
      <c r="C50" s="6">
        <v>1587.0</v>
      </c>
      <c r="D50" s="5" t="s">
        <v>6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5" t="s">
        <v>105</v>
      </c>
      <c r="B51" s="2" t="s">
        <v>106</v>
      </c>
      <c r="C51" s="6">
        <v>4717.0</v>
      </c>
      <c r="D51" s="5" t="s">
        <v>13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5" t="s">
        <v>107</v>
      </c>
      <c r="B52" s="2" t="s">
        <v>108</v>
      </c>
      <c r="C52" s="6">
        <v>6880.0</v>
      </c>
      <c r="D52" s="5" t="s">
        <v>10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5" t="s">
        <v>109</v>
      </c>
      <c r="B53" s="2" t="s">
        <v>110</v>
      </c>
      <c r="C53" s="6">
        <v>4853.0</v>
      </c>
      <c r="D53" s="5" t="s">
        <v>13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5" t="s">
        <v>111</v>
      </c>
      <c r="B54" s="2" t="s">
        <v>112</v>
      </c>
      <c r="C54" s="6">
        <v>801.0</v>
      </c>
      <c r="D54" s="5" t="s">
        <v>10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5" t="s">
        <v>113</v>
      </c>
      <c r="B55" s="2" t="s">
        <v>114</v>
      </c>
      <c r="C55" s="6">
        <v>1928.0</v>
      </c>
      <c r="D55" s="5" t="s">
        <v>13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5" t="s">
        <v>115</v>
      </c>
      <c r="B56" s="2" t="s">
        <v>116</v>
      </c>
      <c r="C56" s="6">
        <v>1028.0</v>
      </c>
      <c r="D56" s="5" t="s">
        <v>13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5" t="s">
        <v>117</v>
      </c>
      <c r="B57" s="2" t="s">
        <v>118</v>
      </c>
      <c r="C57" s="6">
        <v>5895.0</v>
      </c>
      <c r="D57" s="5" t="s">
        <v>10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5" t="s">
        <v>119</v>
      </c>
      <c r="B58" s="2" t="s">
        <v>120</v>
      </c>
      <c r="C58" s="6">
        <v>6489.0</v>
      </c>
      <c r="D58" s="5" t="s">
        <v>6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5" t="s">
        <v>121</v>
      </c>
      <c r="B59" s="2" t="s">
        <v>122</v>
      </c>
      <c r="C59" s="6">
        <v>9959.0</v>
      </c>
      <c r="D59" s="5" t="s">
        <v>10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5" t="s">
        <v>123</v>
      </c>
      <c r="B60" s="2" t="s">
        <v>124</v>
      </c>
      <c r="C60" s="6">
        <v>620.0</v>
      </c>
      <c r="D60" s="5" t="s">
        <v>13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5" t="s">
        <v>125</v>
      </c>
      <c r="B61" s="2" t="s">
        <v>126</v>
      </c>
      <c r="C61" s="6">
        <v>7231.0</v>
      </c>
      <c r="D61" s="5" t="s">
        <v>13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5" t="s">
        <v>127</v>
      </c>
      <c r="B62" s="2" t="s">
        <v>128</v>
      </c>
      <c r="C62" s="6">
        <v>4548.0</v>
      </c>
      <c r="D62" s="5" t="s">
        <v>13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5" t="s">
        <v>129</v>
      </c>
      <c r="B63" s="2" t="s">
        <v>130</v>
      </c>
      <c r="C63" s="6">
        <v>7846.0</v>
      </c>
      <c r="D63" s="5" t="s">
        <v>10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5" t="s">
        <v>131</v>
      </c>
      <c r="B64" s="2" t="s">
        <v>132</v>
      </c>
      <c r="C64" s="6">
        <v>7573.0</v>
      </c>
      <c r="D64" s="5" t="s">
        <v>13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5" t="s">
        <v>133</v>
      </c>
      <c r="B65" s="2" t="s">
        <v>134</v>
      </c>
      <c r="C65" s="6">
        <v>6785.0</v>
      </c>
      <c r="D65" s="5" t="s">
        <v>13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5" t="s">
        <v>135</v>
      </c>
      <c r="B66" s="2" t="s">
        <v>136</v>
      </c>
      <c r="C66" s="6">
        <v>7699.0</v>
      </c>
      <c r="D66" s="5" t="s">
        <v>13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5" t="s">
        <v>137</v>
      </c>
      <c r="B67" s="2" t="s">
        <v>138</v>
      </c>
      <c r="C67" s="6">
        <v>6281.0</v>
      </c>
      <c r="D67" s="5" t="s">
        <v>6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5" t="s">
        <v>139</v>
      </c>
      <c r="B68" s="2" t="s">
        <v>140</v>
      </c>
      <c r="C68" s="6">
        <v>959.0</v>
      </c>
      <c r="D68" s="5" t="s">
        <v>13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5" t="s">
        <v>141</v>
      </c>
      <c r="B69" s="2" t="s">
        <v>142</v>
      </c>
      <c r="C69" s="6">
        <v>9644.0</v>
      </c>
      <c r="D69" s="5" t="s">
        <v>13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5" t="s">
        <v>143</v>
      </c>
      <c r="B70" s="2" t="s">
        <v>144</v>
      </c>
      <c r="C70" s="6">
        <v>5728.0</v>
      </c>
      <c r="D70" s="5" t="s">
        <v>6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5" t="s">
        <v>145</v>
      </c>
      <c r="B71" s="2" t="s">
        <v>146</v>
      </c>
      <c r="C71" s="6">
        <v>9216.0</v>
      </c>
      <c r="D71" s="5" t="s">
        <v>13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5" t="s">
        <v>147</v>
      </c>
      <c r="B72" s="2" t="s">
        <v>148</v>
      </c>
      <c r="C72" s="6">
        <v>2985.0</v>
      </c>
      <c r="D72" s="5" t="s">
        <v>13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5" t="s">
        <v>149</v>
      </c>
      <c r="B73" s="2" t="s">
        <v>150</v>
      </c>
      <c r="C73" s="6">
        <v>8403.0</v>
      </c>
      <c r="D73" s="5" t="s">
        <v>10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5" t="s">
        <v>151</v>
      </c>
      <c r="B74" s="2" t="s">
        <v>152</v>
      </c>
      <c r="C74" s="6">
        <v>8250.0</v>
      </c>
      <c r="D74" s="5" t="s">
        <v>13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5" t="s">
        <v>153</v>
      </c>
      <c r="B75" s="2" t="s">
        <v>154</v>
      </c>
      <c r="C75" s="6">
        <v>3185.0</v>
      </c>
      <c r="D75" s="5" t="s">
        <v>6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5" t="s">
        <v>155</v>
      </c>
      <c r="B76" s="2" t="s">
        <v>156</v>
      </c>
      <c r="C76" s="6">
        <v>5718.0</v>
      </c>
      <c r="D76" s="5" t="s">
        <v>10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5" t="s">
        <v>157</v>
      </c>
      <c r="B77" s="2" t="s">
        <v>158</v>
      </c>
      <c r="C77" s="6">
        <v>4388.0</v>
      </c>
      <c r="D77" s="5" t="s">
        <v>6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5" t="s">
        <v>159</v>
      </c>
      <c r="B78" s="2" t="s">
        <v>160</v>
      </c>
      <c r="C78" s="6">
        <v>7880.0</v>
      </c>
      <c r="D78" s="5" t="s">
        <v>6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5" t="s">
        <v>161</v>
      </c>
      <c r="B79" s="2" t="s">
        <v>162</v>
      </c>
      <c r="C79" s="6">
        <v>304.0</v>
      </c>
      <c r="D79" s="5" t="s">
        <v>13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5" t="s">
        <v>163</v>
      </c>
      <c r="B80" s="2" t="s">
        <v>164</v>
      </c>
      <c r="C80" s="6">
        <v>8521.0</v>
      </c>
      <c r="D80" s="5" t="s">
        <v>10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5" t="s">
        <v>165</v>
      </c>
      <c r="B81" s="2" t="s">
        <v>166</v>
      </c>
      <c r="C81" s="6">
        <v>9004.0</v>
      </c>
      <c r="D81" s="5" t="s">
        <v>6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5" t="s">
        <v>167</v>
      </c>
      <c r="B82" s="2" t="s">
        <v>168</v>
      </c>
      <c r="C82" s="6">
        <v>6818.0</v>
      </c>
      <c r="D82" s="5" t="s">
        <v>6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5" t="s">
        <v>169</v>
      </c>
      <c r="B83" s="2" t="s">
        <v>170</v>
      </c>
      <c r="C83" s="6">
        <v>8253.0</v>
      </c>
      <c r="D83" s="5" t="s">
        <v>6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5" t="s">
        <v>171</v>
      </c>
      <c r="B84" s="2" t="s">
        <v>172</v>
      </c>
      <c r="C84" s="6">
        <v>4525.0</v>
      </c>
      <c r="D84" s="5" t="s">
        <v>10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5" t="s">
        <v>173</v>
      </c>
      <c r="B85" s="2" t="s">
        <v>174</v>
      </c>
      <c r="C85" s="6">
        <v>8932.0</v>
      </c>
      <c r="D85" s="5" t="s">
        <v>6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5" t="s">
        <v>175</v>
      </c>
      <c r="B86" s="2" t="s">
        <v>176</v>
      </c>
      <c r="C86" s="6">
        <v>6255.0</v>
      </c>
      <c r="D86" s="5" t="s">
        <v>6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5" t="s">
        <v>177</v>
      </c>
      <c r="B87" s="2" t="s">
        <v>178</v>
      </c>
      <c r="C87" s="6">
        <v>4078.0</v>
      </c>
      <c r="D87" s="5" t="s">
        <v>13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5" t="s">
        <v>179</v>
      </c>
      <c r="B88" s="2" t="s">
        <v>180</v>
      </c>
      <c r="C88" s="6">
        <v>5986.0</v>
      </c>
      <c r="D88" s="5" t="s">
        <v>10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5" t="s">
        <v>181</v>
      </c>
      <c r="B89" s="2" t="s">
        <v>182</v>
      </c>
      <c r="C89" s="6">
        <v>2976.0</v>
      </c>
      <c r="D89" s="5" t="s">
        <v>6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5" t="s">
        <v>183</v>
      </c>
      <c r="B90" s="2" t="s">
        <v>184</v>
      </c>
      <c r="C90" s="6">
        <v>5519.0</v>
      </c>
      <c r="D90" s="5" t="s">
        <v>10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5" t="s">
        <v>185</v>
      </c>
      <c r="B91" s="2" t="s">
        <v>186</v>
      </c>
      <c r="C91" s="6">
        <v>2780.0</v>
      </c>
      <c r="D91" s="5" t="s">
        <v>13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5" t="s">
        <v>187</v>
      </c>
      <c r="B92" s="2" t="s">
        <v>188</v>
      </c>
      <c r="C92" s="6">
        <v>559.0</v>
      </c>
      <c r="D92" s="5" t="s">
        <v>13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5" t="s">
        <v>189</v>
      </c>
      <c r="B93" s="2" t="s">
        <v>190</v>
      </c>
      <c r="C93" s="6">
        <v>610.0</v>
      </c>
      <c r="D93" s="5" t="s">
        <v>13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5" t="s">
        <v>191</v>
      </c>
      <c r="B94" s="2" t="s">
        <v>192</v>
      </c>
      <c r="C94" s="6">
        <v>9775.0</v>
      </c>
      <c r="D94" s="5" t="s">
        <v>13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5" t="s">
        <v>193</v>
      </c>
      <c r="B95" s="2" t="s">
        <v>194</v>
      </c>
      <c r="C95" s="6">
        <v>9280.0</v>
      </c>
      <c r="D95" s="5" t="s">
        <v>6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5" t="s">
        <v>195</v>
      </c>
      <c r="B96" s="2" t="s">
        <v>196</v>
      </c>
      <c r="C96" s="6">
        <v>2868.0</v>
      </c>
      <c r="D96" s="5" t="s">
        <v>6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5" t="s">
        <v>197</v>
      </c>
      <c r="B97" s="2" t="s">
        <v>198</v>
      </c>
      <c r="C97" s="6">
        <v>1401.0</v>
      </c>
      <c r="D97" s="5" t="s">
        <v>13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5" t="s">
        <v>199</v>
      </c>
      <c r="B98" s="2" t="s">
        <v>200</v>
      </c>
      <c r="C98" s="6">
        <v>4498.0</v>
      </c>
      <c r="D98" s="5" t="s">
        <v>10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5" t="s">
        <v>201</v>
      </c>
      <c r="B99" s="2" t="s">
        <v>202</v>
      </c>
      <c r="C99" s="6">
        <v>5409.0</v>
      </c>
      <c r="D99" s="5" t="s">
        <v>6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5" t="s">
        <v>203</v>
      </c>
      <c r="B100" s="2" t="s">
        <v>204</v>
      </c>
      <c r="C100" s="6">
        <v>1099.0</v>
      </c>
      <c r="D100" s="5" t="s">
        <v>10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5" t="s">
        <v>205</v>
      </c>
      <c r="B101" s="2" t="s">
        <v>206</v>
      </c>
      <c r="C101" s="6">
        <v>765.0</v>
      </c>
      <c r="D101" s="5" t="s">
        <v>10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5"/>
      <c r="B102" s="2"/>
      <c r="C102" s="10"/>
      <c r="D102" s="5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5"/>
      <c r="B103" s="2"/>
      <c r="C103" s="10"/>
      <c r="D103" s="5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5"/>
      <c r="B104" s="2"/>
      <c r="C104" s="10"/>
      <c r="D104" s="5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5"/>
      <c r="B105" s="2"/>
      <c r="C105" s="10"/>
      <c r="D105" s="5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5"/>
      <c r="B106" s="2"/>
      <c r="C106" s="10"/>
      <c r="D106" s="5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5"/>
      <c r="B107" s="2"/>
      <c r="C107" s="10"/>
      <c r="D107" s="5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5"/>
      <c r="B108" s="2"/>
      <c r="C108" s="10"/>
      <c r="D108" s="5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5"/>
      <c r="B109" s="2"/>
      <c r="C109" s="10"/>
      <c r="D109" s="5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5"/>
      <c r="B110" s="2"/>
      <c r="C110" s="10"/>
      <c r="D110" s="5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5"/>
      <c r="B111" s="2"/>
      <c r="C111" s="10"/>
      <c r="D111" s="5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5"/>
      <c r="B112" s="2"/>
      <c r="C112" s="10"/>
      <c r="D112" s="5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5"/>
      <c r="B113" s="2"/>
      <c r="C113" s="10"/>
      <c r="D113" s="5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5"/>
      <c r="B114" s="2"/>
      <c r="C114" s="10"/>
      <c r="D114" s="5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5"/>
      <c r="B115" s="2"/>
      <c r="C115" s="10"/>
      <c r="D115" s="5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5"/>
      <c r="B116" s="2"/>
      <c r="C116" s="10"/>
      <c r="D116" s="5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5"/>
      <c r="B117" s="2"/>
      <c r="C117" s="10"/>
      <c r="D117" s="5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5"/>
      <c r="B118" s="2"/>
      <c r="C118" s="10"/>
      <c r="D118" s="5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5"/>
      <c r="B119" s="2"/>
      <c r="C119" s="10"/>
      <c r="D119" s="5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5"/>
      <c r="B120" s="2"/>
      <c r="C120" s="10"/>
      <c r="D120" s="5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5"/>
      <c r="B121" s="2"/>
      <c r="C121" s="10"/>
      <c r="D121" s="5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5"/>
      <c r="B122" s="2"/>
      <c r="C122" s="10"/>
      <c r="D122" s="5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5"/>
      <c r="B123" s="2"/>
      <c r="C123" s="10"/>
      <c r="D123" s="5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5"/>
      <c r="B124" s="2"/>
      <c r="C124" s="10"/>
      <c r="D124" s="5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5"/>
      <c r="B125" s="2"/>
      <c r="C125" s="10"/>
      <c r="D125" s="5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5"/>
      <c r="B126" s="2"/>
      <c r="C126" s="10"/>
      <c r="D126" s="5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5"/>
      <c r="B127" s="2"/>
      <c r="C127" s="10"/>
      <c r="D127" s="5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5"/>
      <c r="B128" s="2"/>
      <c r="C128" s="10"/>
      <c r="D128" s="5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5"/>
      <c r="B129" s="2"/>
      <c r="C129" s="10"/>
      <c r="D129" s="5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5"/>
      <c r="B130" s="2"/>
      <c r="C130" s="10"/>
      <c r="D130" s="5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5"/>
      <c r="B131" s="2"/>
      <c r="C131" s="10"/>
      <c r="D131" s="5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5"/>
      <c r="B132" s="2"/>
      <c r="C132" s="10"/>
      <c r="D132" s="5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5"/>
      <c r="B133" s="2"/>
      <c r="C133" s="10"/>
      <c r="D133" s="5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5"/>
      <c r="B134" s="2"/>
      <c r="C134" s="10"/>
      <c r="D134" s="5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5"/>
      <c r="B135" s="2"/>
      <c r="C135" s="10"/>
      <c r="D135" s="5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5"/>
      <c r="B136" s="2"/>
      <c r="C136" s="10"/>
      <c r="D136" s="5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5"/>
      <c r="B137" s="2"/>
      <c r="C137" s="10"/>
      <c r="D137" s="5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5"/>
      <c r="B138" s="2"/>
      <c r="C138" s="10"/>
      <c r="D138" s="5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5"/>
      <c r="B139" s="2"/>
      <c r="C139" s="10"/>
      <c r="D139" s="5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5"/>
      <c r="B140" s="2"/>
      <c r="C140" s="10"/>
      <c r="D140" s="5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5"/>
      <c r="B141" s="2"/>
      <c r="C141" s="10"/>
      <c r="D141" s="5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5"/>
      <c r="B142" s="2"/>
      <c r="C142" s="10"/>
      <c r="D142" s="5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5"/>
      <c r="B143" s="2"/>
      <c r="C143" s="10"/>
      <c r="D143" s="5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5"/>
      <c r="B144" s="2"/>
      <c r="C144" s="10"/>
      <c r="D144" s="5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5"/>
      <c r="B145" s="2"/>
      <c r="C145" s="10"/>
      <c r="D145" s="5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5"/>
      <c r="B146" s="2"/>
      <c r="C146" s="10"/>
      <c r="D146" s="5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5"/>
      <c r="B147" s="2"/>
      <c r="C147" s="10"/>
      <c r="D147" s="5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5"/>
      <c r="B148" s="2"/>
      <c r="C148" s="10"/>
      <c r="D148" s="5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5"/>
      <c r="B149" s="2"/>
      <c r="C149" s="10"/>
      <c r="D149" s="5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5"/>
      <c r="B150" s="2"/>
      <c r="C150" s="10"/>
      <c r="D150" s="5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5"/>
      <c r="B151" s="2"/>
      <c r="C151" s="10"/>
      <c r="D151" s="5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5"/>
      <c r="B152" s="2"/>
      <c r="C152" s="10"/>
      <c r="D152" s="5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5"/>
      <c r="B153" s="2"/>
      <c r="C153" s="10"/>
      <c r="D153" s="5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5"/>
      <c r="B154" s="2"/>
      <c r="C154" s="10"/>
      <c r="D154" s="5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5"/>
      <c r="B155" s="2"/>
      <c r="C155" s="10"/>
      <c r="D155" s="5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5"/>
      <c r="B156" s="2"/>
      <c r="C156" s="10"/>
      <c r="D156" s="5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5"/>
      <c r="B157" s="2"/>
      <c r="C157" s="10"/>
      <c r="D157" s="5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5"/>
      <c r="B158" s="2"/>
      <c r="C158" s="10"/>
      <c r="D158" s="5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5"/>
      <c r="B159" s="2"/>
      <c r="C159" s="10"/>
      <c r="D159" s="5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5"/>
      <c r="B160" s="2"/>
      <c r="C160" s="10"/>
      <c r="D160" s="5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5"/>
      <c r="B161" s="2"/>
      <c r="C161" s="10"/>
      <c r="D161" s="5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5"/>
      <c r="B162" s="2"/>
      <c r="C162" s="10"/>
      <c r="D162" s="5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5"/>
      <c r="B163" s="2"/>
      <c r="C163" s="10"/>
      <c r="D163" s="5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5"/>
      <c r="B164" s="2"/>
      <c r="C164" s="10"/>
      <c r="D164" s="5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5"/>
      <c r="B165" s="2"/>
      <c r="C165" s="10"/>
      <c r="D165" s="5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5"/>
      <c r="B166" s="2"/>
      <c r="C166" s="10"/>
      <c r="D166" s="5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5"/>
      <c r="B167" s="2"/>
      <c r="C167" s="10"/>
      <c r="D167" s="5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5"/>
      <c r="B168" s="2"/>
      <c r="C168" s="10"/>
      <c r="D168" s="5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5"/>
      <c r="B169" s="2"/>
      <c r="C169" s="10"/>
      <c r="D169" s="5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5"/>
      <c r="B170" s="2"/>
      <c r="C170" s="10"/>
      <c r="D170" s="5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5"/>
      <c r="B171" s="2"/>
      <c r="C171" s="10"/>
      <c r="D171" s="5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5"/>
      <c r="B172" s="2"/>
      <c r="C172" s="10"/>
      <c r="D172" s="5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5"/>
      <c r="B173" s="2"/>
      <c r="C173" s="10"/>
      <c r="D173" s="5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5"/>
      <c r="B174" s="2"/>
      <c r="C174" s="10"/>
      <c r="D174" s="5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5"/>
      <c r="B175" s="2"/>
      <c r="C175" s="10"/>
      <c r="D175" s="5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5"/>
      <c r="B176" s="2"/>
      <c r="C176" s="10"/>
      <c r="D176" s="5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5"/>
      <c r="B177" s="2"/>
      <c r="C177" s="10"/>
      <c r="D177" s="5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5"/>
      <c r="B178" s="2"/>
      <c r="C178" s="10"/>
      <c r="D178" s="5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5"/>
      <c r="B179" s="2"/>
      <c r="C179" s="10"/>
      <c r="D179" s="5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5"/>
      <c r="B180" s="2"/>
      <c r="C180" s="10"/>
      <c r="D180" s="5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5"/>
      <c r="B181" s="2"/>
      <c r="C181" s="10"/>
      <c r="D181" s="5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5"/>
      <c r="B182" s="2"/>
      <c r="C182" s="10"/>
      <c r="D182" s="5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5"/>
      <c r="B183" s="2"/>
      <c r="C183" s="10"/>
      <c r="D183" s="5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5"/>
      <c r="B184" s="2"/>
      <c r="C184" s="10"/>
      <c r="D184" s="5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5"/>
      <c r="B185" s="2"/>
      <c r="C185" s="10"/>
      <c r="D185" s="5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5"/>
      <c r="B186" s="2"/>
      <c r="C186" s="10"/>
      <c r="D186" s="5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5"/>
      <c r="B187" s="2"/>
      <c r="C187" s="10"/>
      <c r="D187" s="5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5"/>
      <c r="B188" s="2"/>
      <c r="C188" s="10"/>
      <c r="D188" s="5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5"/>
      <c r="B189" s="2"/>
      <c r="C189" s="10"/>
      <c r="D189" s="5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5"/>
      <c r="B190" s="2"/>
      <c r="C190" s="10"/>
      <c r="D190" s="5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5"/>
      <c r="B191" s="2"/>
      <c r="C191" s="10"/>
      <c r="D191" s="5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5"/>
      <c r="B192" s="2"/>
      <c r="C192" s="10"/>
      <c r="D192" s="5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5"/>
      <c r="B193" s="2"/>
      <c r="C193" s="10"/>
      <c r="D193" s="5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5"/>
      <c r="B194" s="2"/>
      <c r="C194" s="10"/>
      <c r="D194" s="5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5"/>
      <c r="B195" s="2"/>
      <c r="C195" s="10"/>
      <c r="D195" s="5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5"/>
      <c r="B196" s="2"/>
      <c r="C196" s="10"/>
      <c r="D196" s="5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5"/>
      <c r="B197" s="2"/>
      <c r="C197" s="10"/>
      <c r="D197" s="5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5"/>
      <c r="B198" s="2"/>
      <c r="C198" s="10"/>
      <c r="D198" s="5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5"/>
      <c r="B199" s="2"/>
      <c r="C199" s="10"/>
      <c r="D199" s="5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5"/>
      <c r="B200" s="2"/>
      <c r="C200" s="10"/>
      <c r="D200" s="5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5"/>
      <c r="B201" s="2"/>
      <c r="C201" s="10"/>
      <c r="D201" s="5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5"/>
      <c r="B202" s="2"/>
      <c r="C202" s="10"/>
      <c r="D202" s="5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5"/>
      <c r="B203" s="2"/>
      <c r="C203" s="10"/>
      <c r="D203" s="5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5"/>
      <c r="B204" s="2"/>
      <c r="C204" s="10"/>
      <c r="D204" s="5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5"/>
      <c r="B205" s="2"/>
      <c r="C205" s="10"/>
      <c r="D205" s="5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5"/>
      <c r="B206" s="2"/>
      <c r="C206" s="10"/>
      <c r="D206" s="5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5"/>
      <c r="B207" s="2"/>
      <c r="C207" s="10"/>
      <c r="D207" s="5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5"/>
      <c r="B208" s="2"/>
      <c r="C208" s="10"/>
      <c r="D208" s="5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5"/>
      <c r="B209" s="2"/>
      <c r="C209" s="10"/>
      <c r="D209" s="5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5"/>
      <c r="B210" s="2"/>
      <c r="C210" s="10"/>
      <c r="D210" s="5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5"/>
      <c r="B211" s="2"/>
      <c r="C211" s="10"/>
      <c r="D211" s="5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5"/>
      <c r="B212" s="2"/>
      <c r="C212" s="10"/>
      <c r="D212" s="5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5"/>
      <c r="B213" s="2"/>
      <c r="C213" s="10"/>
      <c r="D213" s="5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5"/>
      <c r="B214" s="2"/>
      <c r="C214" s="10"/>
      <c r="D214" s="5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5"/>
      <c r="B215" s="2"/>
      <c r="C215" s="10"/>
      <c r="D215" s="5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5"/>
      <c r="B216" s="2"/>
      <c r="C216" s="10"/>
      <c r="D216" s="5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5"/>
      <c r="B217" s="2"/>
      <c r="C217" s="10"/>
      <c r="D217" s="5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5"/>
      <c r="B218" s="2"/>
      <c r="C218" s="10"/>
      <c r="D218" s="5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5"/>
      <c r="B219" s="2"/>
      <c r="C219" s="10"/>
      <c r="D219" s="5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5"/>
      <c r="B220" s="2"/>
      <c r="C220" s="10"/>
      <c r="D220" s="5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5"/>
      <c r="B221" s="2"/>
      <c r="C221" s="10"/>
      <c r="D221" s="5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5"/>
      <c r="B222" s="2"/>
      <c r="C222" s="10"/>
      <c r="D222" s="5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5"/>
      <c r="B223" s="2"/>
      <c r="C223" s="10"/>
      <c r="D223" s="5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5"/>
      <c r="B224" s="2"/>
      <c r="C224" s="10"/>
      <c r="D224" s="5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5"/>
      <c r="B225" s="2"/>
      <c r="C225" s="10"/>
      <c r="D225" s="5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5"/>
      <c r="B226" s="2"/>
      <c r="C226" s="10"/>
      <c r="D226" s="5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5"/>
      <c r="B227" s="2"/>
      <c r="C227" s="10"/>
      <c r="D227" s="5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5"/>
      <c r="B228" s="2"/>
      <c r="C228" s="10"/>
      <c r="D228" s="5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5"/>
      <c r="B229" s="2"/>
      <c r="C229" s="10"/>
      <c r="D229" s="5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5"/>
      <c r="B230" s="2"/>
      <c r="C230" s="10"/>
      <c r="D230" s="5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5"/>
      <c r="B231" s="2"/>
      <c r="C231" s="10"/>
      <c r="D231" s="5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5"/>
      <c r="B232" s="2"/>
      <c r="C232" s="10"/>
      <c r="D232" s="5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5"/>
      <c r="B233" s="2"/>
      <c r="C233" s="10"/>
      <c r="D233" s="5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5"/>
      <c r="B234" s="2"/>
      <c r="C234" s="10"/>
      <c r="D234" s="5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5"/>
      <c r="B235" s="2"/>
      <c r="C235" s="10"/>
      <c r="D235" s="5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5"/>
      <c r="B236" s="2"/>
      <c r="C236" s="10"/>
      <c r="D236" s="5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5"/>
      <c r="B237" s="2"/>
      <c r="C237" s="10"/>
      <c r="D237" s="5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5"/>
      <c r="B238" s="2"/>
      <c r="C238" s="10"/>
      <c r="D238" s="5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5"/>
      <c r="B239" s="2"/>
      <c r="C239" s="10"/>
      <c r="D239" s="5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5"/>
      <c r="B240" s="2"/>
      <c r="C240" s="10"/>
      <c r="D240" s="5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5"/>
      <c r="B241" s="2"/>
      <c r="C241" s="10"/>
      <c r="D241" s="5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5"/>
      <c r="B242" s="2"/>
      <c r="C242" s="10"/>
      <c r="D242" s="5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5"/>
      <c r="B243" s="2"/>
      <c r="C243" s="10"/>
      <c r="D243" s="5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5"/>
      <c r="B244" s="2"/>
      <c r="C244" s="10"/>
      <c r="D244" s="5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5"/>
      <c r="B245" s="2"/>
      <c r="C245" s="10"/>
      <c r="D245" s="5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5"/>
      <c r="B246" s="2"/>
      <c r="C246" s="10"/>
      <c r="D246" s="5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5"/>
      <c r="B247" s="2"/>
      <c r="C247" s="10"/>
      <c r="D247" s="5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5"/>
      <c r="B248" s="2"/>
      <c r="C248" s="10"/>
      <c r="D248" s="5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5"/>
      <c r="B249" s="2"/>
      <c r="C249" s="10"/>
      <c r="D249" s="5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5"/>
      <c r="B250" s="2"/>
      <c r="C250" s="10"/>
      <c r="D250" s="5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5"/>
      <c r="B251" s="2"/>
      <c r="C251" s="10"/>
      <c r="D251" s="5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5"/>
      <c r="B252" s="2"/>
      <c r="C252" s="10"/>
      <c r="D252" s="5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5"/>
      <c r="B253" s="2"/>
      <c r="C253" s="10"/>
      <c r="D253" s="5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5"/>
      <c r="B254" s="2"/>
      <c r="C254" s="10"/>
      <c r="D254" s="5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5"/>
      <c r="B255" s="2"/>
      <c r="C255" s="10"/>
      <c r="D255" s="5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5"/>
      <c r="B256" s="2"/>
      <c r="C256" s="10"/>
      <c r="D256" s="5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5"/>
      <c r="B257" s="2"/>
      <c r="C257" s="10"/>
      <c r="D257" s="5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5"/>
      <c r="B258" s="2"/>
      <c r="C258" s="10"/>
      <c r="D258" s="5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5"/>
      <c r="B259" s="2"/>
      <c r="C259" s="10"/>
      <c r="D259" s="5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5"/>
      <c r="B260" s="2"/>
      <c r="C260" s="10"/>
      <c r="D260" s="5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5"/>
      <c r="B261" s="5"/>
      <c r="C261" s="10"/>
      <c r="D261" s="5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5"/>
      <c r="B262" s="5"/>
      <c r="C262" s="10"/>
      <c r="D262" s="5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5"/>
      <c r="B263" s="5"/>
      <c r="C263" s="10"/>
      <c r="D263" s="5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5"/>
      <c r="B264" s="5"/>
      <c r="C264" s="10"/>
      <c r="D264" s="5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5"/>
      <c r="B265" s="5"/>
      <c r="C265" s="10"/>
      <c r="D265" s="5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5"/>
      <c r="B266" s="5"/>
      <c r="C266" s="10"/>
      <c r="D266" s="5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5"/>
      <c r="B267" s="5"/>
      <c r="C267" s="10"/>
      <c r="D267" s="5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5"/>
      <c r="B268" s="5"/>
      <c r="C268" s="10"/>
      <c r="D268" s="5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5"/>
      <c r="B269" s="5"/>
      <c r="C269" s="10"/>
      <c r="D269" s="5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5"/>
      <c r="B270" s="5"/>
      <c r="C270" s="10"/>
      <c r="D270" s="5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5"/>
      <c r="B271" s="5"/>
      <c r="C271" s="10"/>
      <c r="D271" s="5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5"/>
      <c r="B272" s="5"/>
      <c r="C272" s="10"/>
      <c r="D272" s="5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5"/>
      <c r="B273" s="5"/>
      <c r="C273" s="10"/>
      <c r="D273" s="5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5"/>
      <c r="B274" s="5"/>
      <c r="C274" s="10"/>
      <c r="D274" s="5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5"/>
      <c r="B275" s="5"/>
      <c r="C275" s="10"/>
      <c r="D275" s="5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5"/>
      <c r="B276" s="5"/>
      <c r="C276" s="10"/>
      <c r="D276" s="5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5"/>
      <c r="B277" s="5"/>
      <c r="C277" s="10"/>
      <c r="D277" s="5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5"/>
      <c r="B278" s="5"/>
      <c r="C278" s="10"/>
      <c r="D278" s="5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5"/>
      <c r="B279" s="5"/>
      <c r="C279" s="10"/>
      <c r="D279" s="5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5"/>
      <c r="B280" s="5"/>
      <c r="C280" s="10"/>
      <c r="D280" s="5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5"/>
      <c r="B281" s="5"/>
      <c r="C281" s="10"/>
      <c r="D281" s="5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5"/>
      <c r="B282" s="5"/>
      <c r="C282" s="10"/>
      <c r="D282" s="5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5"/>
      <c r="B283" s="5"/>
      <c r="C283" s="10"/>
      <c r="D283" s="5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5"/>
      <c r="B284" s="5"/>
      <c r="C284" s="10"/>
      <c r="D284" s="5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5"/>
      <c r="B285" s="5"/>
      <c r="C285" s="10"/>
      <c r="D285" s="5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5"/>
      <c r="B286" s="5"/>
      <c r="C286" s="10"/>
      <c r="D286" s="5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5"/>
      <c r="B287" s="5"/>
      <c r="C287" s="10"/>
      <c r="D287" s="5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5"/>
      <c r="B288" s="5"/>
      <c r="C288" s="10"/>
      <c r="D288" s="5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5"/>
      <c r="B289" s="5"/>
      <c r="C289" s="10"/>
      <c r="D289" s="5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5"/>
      <c r="B290" s="5"/>
      <c r="C290" s="10"/>
      <c r="D290" s="5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5"/>
      <c r="B291" s="5"/>
      <c r="C291" s="10"/>
      <c r="D291" s="5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5"/>
      <c r="B292" s="5"/>
      <c r="C292" s="10"/>
      <c r="D292" s="5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5"/>
      <c r="B293" s="5"/>
      <c r="C293" s="10"/>
      <c r="D293" s="5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5"/>
      <c r="B294" s="5"/>
      <c r="C294" s="10"/>
      <c r="D294" s="5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5"/>
      <c r="B295" s="5"/>
      <c r="C295" s="10"/>
      <c r="D295" s="5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5"/>
      <c r="B296" s="5"/>
      <c r="C296" s="10"/>
      <c r="D296" s="5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5"/>
      <c r="B297" s="5"/>
      <c r="C297" s="10"/>
      <c r="D297" s="5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5"/>
      <c r="B298" s="5"/>
      <c r="C298" s="10"/>
      <c r="D298" s="5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5"/>
      <c r="B299" s="5"/>
      <c r="C299" s="10"/>
      <c r="D299" s="5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5"/>
      <c r="B300" s="5"/>
      <c r="C300" s="10"/>
      <c r="D300" s="5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5"/>
      <c r="B301" s="5"/>
      <c r="C301" s="10"/>
      <c r="D301" s="5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5"/>
      <c r="B302" s="5"/>
      <c r="C302" s="5"/>
      <c r="D302" s="5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5"/>
      <c r="B303" s="5"/>
      <c r="C303" s="5"/>
      <c r="D303" s="5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5"/>
      <c r="B304" s="5"/>
      <c r="C304" s="5"/>
      <c r="D304" s="5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5"/>
      <c r="B305" s="5"/>
      <c r="C305" s="5"/>
      <c r="D305" s="5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5"/>
      <c r="B306" s="5"/>
      <c r="C306" s="5"/>
      <c r="D306" s="5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5"/>
      <c r="B307" s="5"/>
      <c r="C307" s="5"/>
      <c r="D307" s="5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5"/>
      <c r="B308" s="5"/>
      <c r="C308" s="5"/>
      <c r="D308" s="5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5"/>
      <c r="B309" s="5"/>
      <c r="C309" s="5"/>
      <c r="D309" s="5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5"/>
      <c r="B310" s="5"/>
      <c r="C310" s="5"/>
      <c r="D310" s="5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5"/>
      <c r="B311" s="5"/>
      <c r="C311" s="5"/>
      <c r="D311" s="5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5"/>
      <c r="B312" s="5"/>
      <c r="C312" s="5"/>
      <c r="D312" s="5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5"/>
      <c r="B313" s="5"/>
      <c r="C313" s="5"/>
      <c r="D313" s="5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5"/>
      <c r="B314" s="5"/>
      <c r="C314" s="5"/>
      <c r="D314" s="5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5"/>
      <c r="B315" s="5"/>
      <c r="C315" s="5"/>
      <c r="D315" s="5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5"/>
      <c r="B316" s="5"/>
      <c r="C316" s="5"/>
      <c r="D316" s="5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5"/>
      <c r="B317" s="5"/>
      <c r="C317" s="5"/>
      <c r="D317" s="5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5"/>
      <c r="B318" s="5"/>
      <c r="C318" s="5"/>
      <c r="D318" s="5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5"/>
      <c r="B319" s="5"/>
      <c r="C319" s="5"/>
      <c r="D319" s="5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5"/>
      <c r="B320" s="5"/>
      <c r="C320" s="5"/>
      <c r="D320" s="5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5"/>
      <c r="B321" s="5"/>
      <c r="C321" s="5"/>
      <c r="D321" s="5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5"/>
      <c r="B322" s="5"/>
      <c r="C322" s="5"/>
      <c r="D322" s="5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5"/>
      <c r="B323" s="5"/>
      <c r="C323" s="5"/>
      <c r="D323" s="5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5"/>
      <c r="B324" s="5"/>
      <c r="C324" s="5"/>
      <c r="D324" s="5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5"/>
      <c r="B325" s="5"/>
      <c r="C325" s="5"/>
      <c r="D325" s="5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5"/>
      <c r="B326" s="5"/>
      <c r="C326" s="5"/>
      <c r="D326" s="5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5"/>
      <c r="B327" s="5"/>
      <c r="C327" s="5"/>
      <c r="D327" s="5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5"/>
      <c r="B328" s="5"/>
      <c r="C328" s="5"/>
      <c r="D328" s="5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5"/>
      <c r="B329" s="5"/>
      <c r="C329" s="5"/>
      <c r="D329" s="5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5"/>
      <c r="B330" s="5"/>
      <c r="C330" s="5"/>
      <c r="D330" s="5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5"/>
      <c r="B331" s="5"/>
      <c r="C331" s="5"/>
      <c r="D331" s="5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5"/>
      <c r="B332" s="5"/>
      <c r="C332" s="5"/>
      <c r="D332" s="5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5"/>
      <c r="B333" s="5"/>
      <c r="C333" s="5"/>
      <c r="D333" s="5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5"/>
      <c r="B334" s="5"/>
      <c r="C334" s="5"/>
      <c r="D334" s="5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5"/>
      <c r="B335" s="5"/>
      <c r="C335" s="5"/>
      <c r="D335" s="5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5"/>
      <c r="B336" s="5"/>
      <c r="C336" s="5"/>
      <c r="D336" s="5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5"/>
      <c r="B337" s="5"/>
      <c r="C337" s="5"/>
      <c r="D337" s="5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5"/>
      <c r="B338" s="5"/>
      <c r="C338" s="5"/>
      <c r="D338" s="5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5"/>
      <c r="B339" s="5"/>
      <c r="C339" s="5"/>
      <c r="D339" s="5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5"/>
      <c r="B340" s="5"/>
      <c r="C340" s="5"/>
      <c r="D340" s="5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5"/>
      <c r="B341" s="5"/>
      <c r="C341" s="5"/>
      <c r="D341" s="5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5"/>
      <c r="B342" s="5"/>
      <c r="C342" s="5"/>
      <c r="D342" s="5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5"/>
      <c r="B343" s="5"/>
      <c r="C343" s="5"/>
      <c r="D343" s="5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5"/>
      <c r="B344" s="5"/>
      <c r="C344" s="5"/>
      <c r="D344" s="5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5"/>
      <c r="B345" s="5"/>
      <c r="C345" s="5"/>
      <c r="D345" s="5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5"/>
      <c r="B346" s="5"/>
      <c r="C346" s="5"/>
      <c r="D346" s="5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5"/>
      <c r="B347" s="5"/>
      <c r="C347" s="5"/>
      <c r="D347" s="5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5"/>
      <c r="B348" s="5"/>
      <c r="C348" s="5"/>
      <c r="D348" s="5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5"/>
      <c r="B349" s="5"/>
      <c r="C349" s="5"/>
      <c r="D349" s="5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5"/>
      <c r="B350" s="5"/>
      <c r="C350" s="5"/>
      <c r="D350" s="5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5"/>
      <c r="B351" s="5"/>
      <c r="C351" s="5"/>
      <c r="D351" s="5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5"/>
      <c r="B352" s="5"/>
      <c r="C352" s="5"/>
      <c r="D352" s="5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5"/>
      <c r="B353" s="5"/>
      <c r="C353" s="5"/>
      <c r="D353" s="5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5"/>
      <c r="B354" s="5"/>
      <c r="C354" s="5"/>
      <c r="D354" s="5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5"/>
      <c r="B355" s="5"/>
      <c r="C355" s="5"/>
      <c r="D355" s="5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5"/>
      <c r="B356" s="5"/>
      <c r="C356" s="5"/>
      <c r="D356" s="5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5"/>
      <c r="B357" s="5"/>
      <c r="C357" s="5"/>
      <c r="D357" s="5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5"/>
      <c r="B358" s="5"/>
      <c r="C358" s="5"/>
      <c r="D358" s="5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5"/>
      <c r="B359" s="5"/>
      <c r="C359" s="5"/>
      <c r="D359" s="5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5"/>
      <c r="B360" s="5"/>
      <c r="C360" s="5"/>
      <c r="D360" s="5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5"/>
      <c r="B361" s="5"/>
      <c r="C361" s="5"/>
      <c r="D361" s="5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5"/>
      <c r="B362" s="5"/>
      <c r="C362" s="5"/>
      <c r="D362" s="5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5"/>
      <c r="B363" s="5"/>
      <c r="C363" s="5"/>
      <c r="D363" s="5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5"/>
      <c r="B364" s="5"/>
      <c r="C364" s="5"/>
      <c r="D364" s="5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5"/>
      <c r="B365" s="5"/>
      <c r="C365" s="5"/>
      <c r="D365" s="5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5"/>
      <c r="B366" s="5"/>
      <c r="C366" s="5"/>
      <c r="D366" s="5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5"/>
      <c r="B367" s="5"/>
      <c r="C367" s="5"/>
      <c r="D367" s="5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5"/>
      <c r="B368" s="5"/>
      <c r="C368" s="5"/>
      <c r="D368" s="5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5"/>
      <c r="B369" s="5"/>
      <c r="C369" s="5"/>
      <c r="D369" s="5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5"/>
      <c r="B370" s="5"/>
      <c r="C370" s="5"/>
      <c r="D370" s="5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5"/>
      <c r="B371" s="5"/>
      <c r="C371" s="5"/>
      <c r="D371" s="5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5"/>
      <c r="B372" s="5"/>
      <c r="C372" s="5"/>
      <c r="D372" s="5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5"/>
      <c r="B373" s="5"/>
      <c r="C373" s="5"/>
      <c r="D373" s="5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5"/>
      <c r="B374" s="5"/>
      <c r="C374" s="5"/>
      <c r="D374" s="5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5"/>
      <c r="B375" s="5"/>
      <c r="C375" s="5"/>
      <c r="D375" s="5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5"/>
      <c r="B376" s="5"/>
      <c r="C376" s="5"/>
      <c r="D376" s="5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5"/>
      <c r="B377" s="5"/>
      <c r="C377" s="5"/>
      <c r="D377" s="5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5"/>
      <c r="B378" s="5"/>
      <c r="C378" s="5"/>
      <c r="D378" s="5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5"/>
      <c r="B379" s="5"/>
      <c r="C379" s="5"/>
      <c r="D379" s="5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5"/>
      <c r="B380" s="5"/>
      <c r="C380" s="5"/>
      <c r="D380" s="5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5"/>
      <c r="B381" s="5"/>
      <c r="C381" s="5"/>
      <c r="D381" s="5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5"/>
      <c r="B382" s="5"/>
      <c r="C382" s="5"/>
      <c r="D382" s="5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5"/>
      <c r="B383" s="5"/>
      <c r="C383" s="5"/>
      <c r="D383" s="5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5"/>
      <c r="B384" s="5"/>
      <c r="C384" s="5"/>
      <c r="D384" s="5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5"/>
      <c r="B385" s="5"/>
      <c r="C385" s="5"/>
      <c r="D385" s="5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5"/>
      <c r="B386" s="5"/>
      <c r="C386" s="5"/>
      <c r="D386" s="5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5"/>
      <c r="B387" s="5"/>
      <c r="C387" s="5"/>
      <c r="D387" s="5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5"/>
      <c r="B388" s="5"/>
      <c r="C388" s="5"/>
      <c r="D388" s="5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5"/>
      <c r="B389" s="5"/>
      <c r="C389" s="5"/>
      <c r="D389" s="5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5"/>
      <c r="B390" s="5"/>
      <c r="C390" s="5"/>
      <c r="D390" s="5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5"/>
      <c r="B391" s="5"/>
      <c r="C391" s="5"/>
      <c r="D391" s="5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5"/>
      <c r="B392" s="5"/>
      <c r="C392" s="5"/>
      <c r="D392" s="5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5"/>
      <c r="B393" s="5"/>
      <c r="C393" s="5"/>
      <c r="D393" s="5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5"/>
      <c r="B394" s="5"/>
      <c r="C394" s="5"/>
      <c r="D394" s="5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5"/>
      <c r="B395" s="5"/>
      <c r="C395" s="5"/>
      <c r="D395" s="5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5"/>
      <c r="B396" s="5"/>
      <c r="C396" s="5"/>
      <c r="D396" s="5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5"/>
      <c r="B397" s="5"/>
      <c r="C397" s="5"/>
      <c r="D397" s="5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5"/>
      <c r="B398" s="5"/>
      <c r="C398" s="5"/>
      <c r="D398" s="5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5"/>
      <c r="B399" s="5"/>
      <c r="C399" s="5"/>
      <c r="D399" s="5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5"/>
      <c r="B400" s="5"/>
      <c r="C400" s="5"/>
      <c r="D400" s="5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5"/>
      <c r="B401" s="5"/>
      <c r="C401" s="5"/>
      <c r="D401" s="5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5"/>
      <c r="B402" s="5"/>
      <c r="C402" s="5"/>
      <c r="D402" s="5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5"/>
      <c r="B403" s="5"/>
      <c r="C403" s="5"/>
      <c r="D403" s="5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5"/>
      <c r="B404" s="5"/>
      <c r="C404" s="5"/>
      <c r="D404" s="5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5"/>
      <c r="B405" s="5"/>
      <c r="C405" s="5"/>
      <c r="D405" s="5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5"/>
      <c r="B406" s="5"/>
      <c r="C406" s="5"/>
      <c r="D406" s="5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5"/>
      <c r="B407" s="5"/>
      <c r="C407" s="5"/>
      <c r="D407" s="5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5"/>
      <c r="B408" s="5"/>
      <c r="C408" s="5"/>
      <c r="D408" s="5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5"/>
      <c r="B409" s="5"/>
      <c r="C409" s="5"/>
      <c r="D409" s="5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5"/>
      <c r="B410" s="5"/>
      <c r="C410" s="5"/>
      <c r="D410" s="5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5"/>
      <c r="B411" s="5"/>
      <c r="C411" s="5"/>
      <c r="D411" s="5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5"/>
      <c r="B412" s="5"/>
      <c r="C412" s="5"/>
      <c r="D412" s="5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5"/>
      <c r="B413" s="5"/>
      <c r="C413" s="5"/>
      <c r="D413" s="5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5"/>
      <c r="B414" s="5"/>
      <c r="C414" s="5"/>
      <c r="D414" s="5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5"/>
      <c r="B415" s="5"/>
      <c r="C415" s="5"/>
      <c r="D415" s="5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5"/>
      <c r="B416" s="5"/>
      <c r="C416" s="5"/>
      <c r="D416" s="5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5"/>
      <c r="B417" s="5"/>
      <c r="C417" s="5"/>
      <c r="D417" s="5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5"/>
      <c r="B418" s="5"/>
      <c r="C418" s="5"/>
      <c r="D418" s="5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5"/>
      <c r="B419" s="5"/>
      <c r="C419" s="5"/>
      <c r="D419" s="5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5"/>
      <c r="B420" s="5"/>
      <c r="C420" s="5"/>
      <c r="D420" s="5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5"/>
      <c r="B421" s="5"/>
      <c r="C421" s="5"/>
      <c r="D421" s="5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5"/>
      <c r="B422" s="5"/>
      <c r="C422" s="5"/>
      <c r="D422" s="5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5"/>
      <c r="B423" s="5"/>
      <c r="C423" s="5"/>
      <c r="D423" s="5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5"/>
      <c r="B424" s="5"/>
      <c r="C424" s="5"/>
      <c r="D424" s="5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5"/>
      <c r="B425" s="5"/>
      <c r="C425" s="5"/>
      <c r="D425" s="5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5"/>
      <c r="B426" s="5"/>
      <c r="C426" s="5"/>
      <c r="D426" s="5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5"/>
      <c r="B427" s="5"/>
      <c r="C427" s="5"/>
      <c r="D427" s="5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5"/>
      <c r="B428" s="5"/>
      <c r="C428" s="5"/>
      <c r="D428" s="5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5"/>
      <c r="B429" s="5"/>
      <c r="C429" s="5"/>
      <c r="D429" s="5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5"/>
      <c r="B430" s="5"/>
      <c r="C430" s="5"/>
      <c r="D430" s="5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5"/>
      <c r="B431" s="5"/>
      <c r="C431" s="5"/>
      <c r="D431" s="5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5"/>
      <c r="B432" s="5"/>
      <c r="C432" s="5"/>
      <c r="D432" s="5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5"/>
      <c r="B433" s="5"/>
      <c r="C433" s="5"/>
      <c r="D433" s="5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5"/>
      <c r="B434" s="5"/>
      <c r="C434" s="5"/>
      <c r="D434" s="5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5"/>
      <c r="B435" s="5"/>
      <c r="C435" s="5"/>
      <c r="D435" s="5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5"/>
      <c r="B436" s="5"/>
      <c r="C436" s="5"/>
      <c r="D436" s="5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5"/>
      <c r="B437" s="5"/>
      <c r="C437" s="5"/>
      <c r="D437" s="5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5"/>
      <c r="B438" s="5"/>
      <c r="C438" s="5"/>
      <c r="D438" s="5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5"/>
      <c r="B439" s="5"/>
      <c r="C439" s="5"/>
      <c r="D439" s="5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5"/>
      <c r="B440" s="5"/>
      <c r="C440" s="5"/>
      <c r="D440" s="5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5"/>
      <c r="B441" s="5"/>
      <c r="C441" s="5"/>
      <c r="D441" s="5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5"/>
      <c r="B442" s="5"/>
      <c r="C442" s="5"/>
      <c r="D442" s="5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5"/>
      <c r="B443" s="5"/>
      <c r="C443" s="5"/>
      <c r="D443" s="5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5"/>
      <c r="B444" s="5"/>
      <c r="C444" s="5"/>
      <c r="D444" s="5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5"/>
      <c r="B445" s="5"/>
      <c r="C445" s="5"/>
      <c r="D445" s="5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5"/>
      <c r="B446" s="5"/>
      <c r="C446" s="5"/>
      <c r="D446" s="5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5"/>
      <c r="B447" s="5"/>
      <c r="C447" s="5"/>
      <c r="D447" s="5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5"/>
      <c r="B448" s="5"/>
      <c r="C448" s="5"/>
      <c r="D448" s="5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5"/>
      <c r="B449" s="5"/>
      <c r="C449" s="5"/>
      <c r="D449" s="5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5"/>
      <c r="B450" s="5"/>
      <c r="C450" s="5"/>
      <c r="D450" s="5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5"/>
      <c r="B451" s="5"/>
      <c r="C451" s="5"/>
      <c r="D451" s="5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5"/>
      <c r="B452" s="5"/>
      <c r="C452" s="5"/>
      <c r="D452" s="5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5"/>
      <c r="B453" s="5"/>
      <c r="C453" s="5"/>
      <c r="D453" s="5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5"/>
      <c r="B454" s="5"/>
      <c r="C454" s="5"/>
      <c r="D454" s="5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5"/>
      <c r="B455" s="5"/>
      <c r="C455" s="5"/>
      <c r="D455" s="5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5"/>
      <c r="B456" s="5"/>
      <c r="C456" s="5"/>
      <c r="D456" s="5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5"/>
      <c r="B457" s="5"/>
      <c r="C457" s="5"/>
      <c r="D457" s="5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5"/>
      <c r="B458" s="5"/>
      <c r="C458" s="5"/>
      <c r="D458" s="5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5"/>
      <c r="B459" s="5"/>
      <c r="C459" s="5"/>
      <c r="D459" s="5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5"/>
      <c r="B460" s="5"/>
      <c r="C460" s="5"/>
      <c r="D460" s="5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5"/>
      <c r="B461" s="5"/>
      <c r="C461" s="5"/>
      <c r="D461" s="5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5"/>
      <c r="B462" s="5"/>
      <c r="C462" s="5"/>
      <c r="D462" s="5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5"/>
      <c r="B463" s="5"/>
      <c r="C463" s="5"/>
      <c r="D463" s="5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5"/>
      <c r="B464" s="5"/>
      <c r="C464" s="5"/>
      <c r="D464" s="5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5"/>
      <c r="B465" s="5"/>
      <c r="C465" s="5"/>
      <c r="D465" s="5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5"/>
      <c r="B466" s="5"/>
      <c r="C466" s="5"/>
      <c r="D466" s="5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5"/>
      <c r="B467" s="5"/>
      <c r="C467" s="5"/>
      <c r="D467" s="5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5"/>
      <c r="B468" s="5"/>
      <c r="C468" s="5"/>
      <c r="D468" s="5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5"/>
      <c r="B469" s="5"/>
      <c r="C469" s="5"/>
      <c r="D469" s="5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5"/>
      <c r="B470" s="5"/>
      <c r="C470" s="5"/>
      <c r="D470" s="5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5"/>
      <c r="B471" s="5"/>
      <c r="C471" s="5"/>
      <c r="D471" s="5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5"/>
      <c r="B472" s="5"/>
      <c r="C472" s="5"/>
      <c r="D472" s="5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5"/>
      <c r="B473" s="5"/>
      <c r="C473" s="5"/>
      <c r="D473" s="5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5"/>
      <c r="B474" s="5"/>
      <c r="C474" s="5"/>
      <c r="D474" s="5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5"/>
      <c r="B475" s="5"/>
      <c r="C475" s="5"/>
      <c r="D475" s="5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5"/>
      <c r="B476" s="5"/>
      <c r="C476" s="5"/>
      <c r="D476" s="5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5"/>
      <c r="B477" s="5"/>
      <c r="C477" s="5"/>
      <c r="D477" s="5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5"/>
      <c r="B478" s="5"/>
      <c r="C478" s="5"/>
      <c r="D478" s="5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5"/>
      <c r="B479" s="5"/>
      <c r="C479" s="5"/>
      <c r="D479" s="5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5"/>
      <c r="B480" s="5"/>
      <c r="C480" s="5"/>
      <c r="D480" s="5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5"/>
      <c r="B481" s="5"/>
      <c r="C481" s="5"/>
      <c r="D481" s="5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5"/>
      <c r="B482" s="5"/>
      <c r="C482" s="5"/>
      <c r="D482" s="5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5"/>
      <c r="B483" s="5"/>
      <c r="C483" s="5"/>
      <c r="D483" s="5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5"/>
      <c r="B484" s="5"/>
      <c r="C484" s="5"/>
      <c r="D484" s="5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5"/>
      <c r="B485" s="5"/>
      <c r="C485" s="5"/>
      <c r="D485" s="5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5"/>
      <c r="B486" s="5"/>
      <c r="C486" s="5"/>
      <c r="D486" s="5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5"/>
      <c r="B487" s="5"/>
      <c r="C487" s="5"/>
      <c r="D487" s="5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5"/>
      <c r="B488" s="5"/>
      <c r="C488" s="5"/>
      <c r="D488" s="5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5"/>
      <c r="B489" s="5"/>
      <c r="C489" s="5"/>
      <c r="D489" s="5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5"/>
      <c r="B490" s="5"/>
      <c r="C490" s="5"/>
      <c r="D490" s="5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5"/>
      <c r="B491" s="5"/>
      <c r="C491" s="5"/>
      <c r="D491" s="5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5"/>
      <c r="B492" s="5"/>
      <c r="C492" s="5"/>
      <c r="D492" s="5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5"/>
      <c r="B493" s="5"/>
      <c r="C493" s="5"/>
      <c r="D493" s="5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5"/>
      <c r="B494" s="5"/>
      <c r="C494" s="5"/>
      <c r="D494" s="5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5"/>
      <c r="B495" s="5"/>
      <c r="C495" s="5"/>
      <c r="D495" s="5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5"/>
      <c r="B496" s="5"/>
      <c r="C496" s="5"/>
      <c r="D496" s="5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5"/>
      <c r="B497" s="5"/>
      <c r="C497" s="5"/>
      <c r="D497" s="5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5"/>
      <c r="B498" s="5"/>
      <c r="C498" s="5"/>
      <c r="D498" s="5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5"/>
      <c r="B499" s="5"/>
      <c r="C499" s="5"/>
      <c r="D499" s="5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5"/>
      <c r="B500" s="5"/>
      <c r="C500" s="5"/>
      <c r="D500" s="5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5"/>
      <c r="B501" s="5"/>
      <c r="C501" s="5"/>
      <c r="D501" s="5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5"/>
      <c r="B502" s="5"/>
      <c r="C502" s="5"/>
      <c r="D502" s="5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5"/>
      <c r="B503" s="5"/>
      <c r="C503" s="5"/>
      <c r="D503" s="5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5"/>
      <c r="B504" s="5"/>
      <c r="C504" s="5"/>
      <c r="D504" s="5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5"/>
      <c r="B505" s="5"/>
      <c r="C505" s="5"/>
      <c r="D505" s="5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5"/>
      <c r="B506" s="5"/>
      <c r="C506" s="5"/>
      <c r="D506" s="5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5"/>
      <c r="B507" s="5"/>
      <c r="C507" s="5"/>
      <c r="D507" s="5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5"/>
      <c r="B508" s="5"/>
      <c r="C508" s="5"/>
      <c r="D508" s="5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5"/>
      <c r="B509" s="5"/>
      <c r="C509" s="5"/>
      <c r="D509" s="5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5"/>
      <c r="B510" s="5"/>
      <c r="C510" s="5"/>
      <c r="D510" s="5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5"/>
      <c r="B511" s="5"/>
      <c r="C511" s="5"/>
      <c r="D511" s="5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5"/>
      <c r="B512" s="5"/>
      <c r="C512" s="5"/>
      <c r="D512" s="5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5"/>
      <c r="B513" s="5"/>
      <c r="C513" s="5"/>
      <c r="D513" s="5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5"/>
      <c r="B514" s="5"/>
      <c r="C514" s="5"/>
      <c r="D514" s="5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5"/>
      <c r="B515" s="5"/>
      <c r="C515" s="5"/>
      <c r="D515" s="5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5"/>
      <c r="B516" s="5"/>
      <c r="C516" s="5"/>
      <c r="D516" s="5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5"/>
      <c r="B517" s="5"/>
      <c r="C517" s="5"/>
      <c r="D517" s="5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5"/>
      <c r="B518" s="5"/>
      <c r="C518" s="5"/>
      <c r="D518" s="5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5"/>
      <c r="B519" s="5"/>
      <c r="C519" s="5"/>
      <c r="D519" s="5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5"/>
      <c r="B520" s="5"/>
      <c r="C520" s="5"/>
      <c r="D520" s="5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5"/>
      <c r="B521" s="5"/>
      <c r="C521" s="5"/>
      <c r="D521" s="5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5"/>
      <c r="B522" s="5"/>
      <c r="C522" s="5"/>
      <c r="D522" s="5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5"/>
      <c r="B523" s="5"/>
      <c r="C523" s="5"/>
      <c r="D523" s="5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5"/>
      <c r="B524" s="5"/>
      <c r="C524" s="5"/>
      <c r="D524" s="5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5"/>
      <c r="B525" s="5"/>
      <c r="C525" s="5"/>
      <c r="D525" s="5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5"/>
      <c r="B526" s="5"/>
      <c r="C526" s="5"/>
      <c r="D526" s="5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5"/>
      <c r="B527" s="5"/>
      <c r="C527" s="5"/>
      <c r="D527" s="5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5"/>
      <c r="B528" s="5"/>
      <c r="C528" s="5"/>
      <c r="D528" s="5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5"/>
      <c r="B529" s="5"/>
      <c r="C529" s="5"/>
      <c r="D529" s="5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5"/>
      <c r="B530" s="5"/>
      <c r="C530" s="5"/>
      <c r="D530" s="5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5"/>
      <c r="B531" s="5"/>
      <c r="C531" s="5"/>
      <c r="D531" s="5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5"/>
      <c r="B532" s="5"/>
      <c r="C532" s="5"/>
      <c r="D532" s="5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5"/>
      <c r="B533" s="5"/>
      <c r="C533" s="5"/>
      <c r="D533" s="5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5"/>
      <c r="B534" s="5"/>
      <c r="C534" s="5"/>
      <c r="D534" s="5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5"/>
      <c r="B535" s="5"/>
      <c r="C535" s="5"/>
      <c r="D535" s="5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5"/>
      <c r="B536" s="5"/>
      <c r="C536" s="5"/>
      <c r="D536" s="5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5"/>
      <c r="B537" s="5"/>
      <c r="C537" s="5"/>
      <c r="D537" s="5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5"/>
      <c r="B538" s="5"/>
      <c r="C538" s="5"/>
      <c r="D538" s="5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5"/>
      <c r="B539" s="5"/>
      <c r="C539" s="5"/>
      <c r="D539" s="5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5"/>
      <c r="B540" s="5"/>
      <c r="C540" s="5"/>
      <c r="D540" s="5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5"/>
      <c r="B541" s="5"/>
      <c r="C541" s="5"/>
      <c r="D541" s="5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5"/>
      <c r="B542" s="5"/>
      <c r="C542" s="5"/>
      <c r="D542" s="5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5"/>
      <c r="B543" s="5"/>
      <c r="C543" s="5"/>
      <c r="D543" s="5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5"/>
      <c r="B544" s="5"/>
      <c r="C544" s="5"/>
      <c r="D544" s="5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5"/>
      <c r="B545" s="5"/>
      <c r="C545" s="5"/>
      <c r="D545" s="5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5"/>
      <c r="B546" s="5"/>
      <c r="C546" s="5"/>
      <c r="D546" s="5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5"/>
      <c r="B547" s="5"/>
      <c r="C547" s="5"/>
      <c r="D547" s="5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5"/>
      <c r="B548" s="5"/>
      <c r="C548" s="5"/>
      <c r="D548" s="5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5"/>
      <c r="B549" s="5"/>
      <c r="C549" s="5"/>
      <c r="D549" s="5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5"/>
      <c r="B550" s="5"/>
      <c r="C550" s="5"/>
      <c r="D550" s="5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5"/>
      <c r="B551" s="5"/>
      <c r="C551" s="5"/>
      <c r="D551" s="5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5"/>
      <c r="B552" s="5"/>
      <c r="C552" s="5"/>
      <c r="D552" s="5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5"/>
      <c r="B553" s="5"/>
      <c r="C553" s="5"/>
      <c r="D553" s="5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5"/>
      <c r="B554" s="5"/>
      <c r="C554" s="5"/>
      <c r="D554" s="5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5"/>
      <c r="B555" s="5"/>
      <c r="C555" s="5"/>
      <c r="D555" s="5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5"/>
      <c r="B556" s="5"/>
      <c r="C556" s="5"/>
      <c r="D556" s="5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5"/>
      <c r="B557" s="5"/>
      <c r="C557" s="5"/>
      <c r="D557" s="5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5"/>
      <c r="B558" s="5"/>
      <c r="C558" s="5"/>
      <c r="D558" s="5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5"/>
      <c r="B559" s="5"/>
      <c r="C559" s="5"/>
      <c r="D559" s="5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5"/>
      <c r="B560" s="5"/>
      <c r="C560" s="5"/>
      <c r="D560" s="5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5"/>
      <c r="B561" s="5"/>
      <c r="C561" s="5"/>
      <c r="D561" s="5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5"/>
      <c r="B562" s="5"/>
      <c r="C562" s="5"/>
      <c r="D562" s="5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5"/>
      <c r="B563" s="5"/>
      <c r="C563" s="5"/>
      <c r="D563" s="5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5"/>
      <c r="B564" s="5"/>
      <c r="C564" s="5"/>
      <c r="D564" s="5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5"/>
      <c r="B565" s="5"/>
      <c r="C565" s="5"/>
      <c r="D565" s="5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5"/>
      <c r="B566" s="5"/>
      <c r="C566" s="5"/>
      <c r="D566" s="5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5"/>
      <c r="B567" s="5"/>
      <c r="C567" s="5"/>
      <c r="D567" s="5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5"/>
      <c r="B568" s="5"/>
      <c r="C568" s="5"/>
      <c r="D568" s="5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5"/>
      <c r="B569" s="5"/>
      <c r="C569" s="5"/>
      <c r="D569" s="5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5"/>
      <c r="B570" s="5"/>
      <c r="C570" s="5"/>
      <c r="D570" s="5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5"/>
      <c r="B571" s="5"/>
      <c r="C571" s="5"/>
      <c r="D571" s="5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5"/>
      <c r="B572" s="5"/>
      <c r="C572" s="5"/>
      <c r="D572" s="5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5"/>
      <c r="B573" s="5"/>
      <c r="C573" s="5"/>
      <c r="D573" s="5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5"/>
      <c r="B574" s="5"/>
      <c r="C574" s="5"/>
      <c r="D574" s="5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5"/>
      <c r="B575" s="5"/>
      <c r="C575" s="5"/>
      <c r="D575" s="5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5"/>
      <c r="B576" s="5"/>
      <c r="C576" s="5"/>
      <c r="D576" s="5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5"/>
      <c r="B577" s="5"/>
      <c r="C577" s="5"/>
      <c r="D577" s="5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5"/>
      <c r="B578" s="5"/>
      <c r="C578" s="5"/>
      <c r="D578" s="5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5"/>
      <c r="B579" s="5"/>
      <c r="C579" s="5"/>
      <c r="D579" s="5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5"/>
      <c r="B580" s="5"/>
      <c r="C580" s="5"/>
      <c r="D580" s="5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5"/>
      <c r="B581" s="5"/>
      <c r="C581" s="5"/>
      <c r="D581" s="5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5"/>
      <c r="B582" s="5"/>
      <c r="C582" s="5"/>
      <c r="D582" s="5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5"/>
      <c r="B583" s="5"/>
      <c r="C583" s="5"/>
      <c r="D583" s="5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5"/>
      <c r="B584" s="5"/>
      <c r="C584" s="5"/>
      <c r="D584" s="5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5"/>
      <c r="B585" s="5"/>
      <c r="C585" s="5"/>
      <c r="D585" s="5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5"/>
      <c r="B586" s="5"/>
      <c r="C586" s="5"/>
      <c r="D586" s="5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5"/>
      <c r="B587" s="5"/>
      <c r="C587" s="5"/>
      <c r="D587" s="5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5"/>
      <c r="B588" s="5"/>
      <c r="C588" s="5"/>
      <c r="D588" s="5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5"/>
      <c r="B589" s="5"/>
      <c r="C589" s="5"/>
      <c r="D589" s="5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5"/>
      <c r="B590" s="5"/>
      <c r="C590" s="5"/>
      <c r="D590" s="5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5"/>
      <c r="B591" s="5"/>
      <c r="C591" s="5"/>
      <c r="D591" s="5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5"/>
      <c r="B592" s="5"/>
      <c r="C592" s="5"/>
      <c r="D592" s="5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5"/>
      <c r="B593" s="5"/>
      <c r="C593" s="5"/>
      <c r="D593" s="5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5"/>
      <c r="B594" s="5"/>
      <c r="C594" s="5"/>
      <c r="D594" s="5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5"/>
      <c r="B595" s="5"/>
      <c r="C595" s="5"/>
      <c r="D595" s="5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5"/>
      <c r="B596" s="5"/>
      <c r="C596" s="5"/>
      <c r="D596" s="5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5"/>
      <c r="B597" s="5"/>
      <c r="C597" s="5"/>
      <c r="D597" s="5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5"/>
      <c r="B598" s="5"/>
      <c r="C598" s="5"/>
      <c r="D598" s="5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5"/>
      <c r="B599" s="5"/>
      <c r="C599" s="5"/>
      <c r="D599" s="5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5"/>
      <c r="B600" s="5"/>
      <c r="C600" s="5"/>
      <c r="D600" s="5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5"/>
      <c r="B601" s="5"/>
      <c r="C601" s="5"/>
      <c r="D601" s="5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5"/>
      <c r="B602" s="5"/>
      <c r="C602" s="5"/>
      <c r="D602" s="5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5"/>
      <c r="B603" s="5"/>
      <c r="C603" s="5"/>
      <c r="D603" s="5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5"/>
      <c r="B604" s="5"/>
      <c r="C604" s="5"/>
      <c r="D604" s="5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5"/>
      <c r="B605" s="5"/>
      <c r="C605" s="5"/>
      <c r="D605" s="5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5"/>
      <c r="B606" s="5"/>
      <c r="C606" s="5"/>
      <c r="D606" s="5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5"/>
      <c r="B607" s="5"/>
      <c r="C607" s="5"/>
      <c r="D607" s="5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5"/>
      <c r="B608" s="5"/>
      <c r="C608" s="5"/>
      <c r="D608" s="5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5"/>
      <c r="B609" s="5"/>
      <c r="C609" s="5"/>
      <c r="D609" s="5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5"/>
      <c r="B610" s="5"/>
      <c r="C610" s="5"/>
      <c r="D610" s="5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5"/>
      <c r="B611" s="5"/>
      <c r="C611" s="5"/>
      <c r="D611" s="5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5"/>
      <c r="B612" s="5"/>
      <c r="C612" s="5"/>
      <c r="D612" s="5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5"/>
      <c r="B613" s="5"/>
      <c r="C613" s="5"/>
      <c r="D613" s="5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5"/>
      <c r="B614" s="5"/>
      <c r="C614" s="5"/>
      <c r="D614" s="5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5"/>
      <c r="B615" s="5"/>
      <c r="C615" s="5"/>
      <c r="D615" s="5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5"/>
      <c r="B616" s="5"/>
      <c r="C616" s="5"/>
      <c r="D616" s="5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5"/>
      <c r="B617" s="5"/>
      <c r="C617" s="5"/>
      <c r="D617" s="5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5"/>
      <c r="B618" s="5"/>
      <c r="C618" s="5"/>
      <c r="D618" s="5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5"/>
      <c r="B619" s="5"/>
      <c r="C619" s="5"/>
      <c r="D619" s="5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5"/>
      <c r="B620" s="5"/>
      <c r="C620" s="5"/>
      <c r="D620" s="5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5"/>
      <c r="B621" s="5"/>
      <c r="C621" s="5"/>
      <c r="D621" s="5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5"/>
      <c r="B622" s="5"/>
      <c r="C622" s="5"/>
      <c r="D622" s="5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5"/>
      <c r="B623" s="5"/>
      <c r="C623" s="5"/>
      <c r="D623" s="5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5"/>
      <c r="B624" s="5"/>
      <c r="C624" s="5"/>
      <c r="D624" s="5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5"/>
      <c r="B625" s="5"/>
      <c r="C625" s="5"/>
      <c r="D625" s="5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5"/>
      <c r="B626" s="5"/>
      <c r="C626" s="5"/>
      <c r="D626" s="5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5"/>
      <c r="B627" s="5"/>
      <c r="C627" s="5"/>
      <c r="D627" s="5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5"/>
      <c r="B628" s="5"/>
      <c r="C628" s="5"/>
      <c r="D628" s="5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5"/>
      <c r="B629" s="5"/>
      <c r="C629" s="5"/>
      <c r="D629" s="5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5"/>
      <c r="B630" s="5"/>
      <c r="C630" s="5"/>
      <c r="D630" s="5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5"/>
      <c r="B631" s="5"/>
      <c r="C631" s="5"/>
      <c r="D631" s="5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5"/>
      <c r="B632" s="5"/>
      <c r="C632" s="5"/>
      <c r="D632" s="5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5"/>
      <c r="B633" s="5"/>
      <c r="C633" s="5"/>
      <c r="D633" s="5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5"/>
      <c r="B634" s="5"/>
      <c r="C634" s="5"/>
      <c r="D634" s="5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5"/>
      <c r="B635" s="5"/>
      <c r="C635" s="5"/>
      <c r="D635" s="5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5"/>
      <c r="B636" s="5"/>
      <c r="C636" s="5"/>
      <c r="D636" s="5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5"/>
      <c r="B637" s="5"/>
      <c r="C637" s="5"/>
      <c r="D637" s="5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5"/>
      <c r="B638" s="5"/>
      <c r="C638" s="5"/>
      <c r="D638" s="5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5"/>
      <c r="B639" s="5"/>
      <c r="C639" s="5"/>
      <c r="D639" s="5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5"/>
      <c r="B640" s="5"/>
      <c r="C640" s="5"/>
      <c r="D640" s="5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5"/>
      <c r="B641" s="5"/>
      <c r="C641" s="5"/>
      <c r="D641" s="5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5"/>
      <c r="B642" s="5"/>
      <c r="C642" s="5"/>
      <c r="D642" s="5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5"/>
      <c r="B643" s="5"/>
      <c r="C643" s="5"/>
      <c r="D643" s="5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5"/>
      <c r="B644" s="5"/>
      <c r="C644" s="5"/>
      <c r="D644" s="5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5"/>
      <c r="B645" s="5"/>
      <c r="C645" s="5"/>
      <c r="D645" s="5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5"/>
      <c r="B646" s="5"/>
      <c r="C646" s="5"/>
      <c r="D646" s="5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5"/>
      <c r="B647" s="5"/>
      <c r="C647" s="5"/>
      <c r="D647" s="5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5"/>
      <c r="B648" s="5"/>
      <c r="C648" s="5"/>
      <c r="D648" s="5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5"/>
      <c r="B649" s="5"/>
      <c r="C649" s="5"/>
      <c r="D649" s="5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5"/>
      <c r="B650" s="5"/>
      <c r="C650" s="5"/>
      <c r="D650" s="5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5"/>
      <c r="B651" s="5"/>
      <c r="C651" s="5"/>
      <c r="D651" s="5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5"/>
      <c r="B652" s="5"/>
      <c r="C652" s="5"/>
      <c r="D652" s="5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5"/>
      <c r="B653" s="5"/>
      <c r="C653" s="5"/>
      <c r="D653" s="5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5"/>
      <c r="B654" s="5"/>
      <c r="C654" s="5"/>
      <c r="D654" s="5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5"/>
      <c r="B655" s="5"/>
      <c r="C655" s="5"/>
      <c r="D655" s="5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5"/>
      <c r="B656" s="5"/>
      <c r="C656" s="5"/>
      <c r="D656" s="5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5"/>
      <c r="B657" s="5"/>
      <c r="C657" s="5"/>
      <c r="D657" s="5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5"/>
      <c r="B658" s="5"/>
      <c r="C658" s="5"/>
      <c r="D658" s="5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5"/>
      <c r="B659" s="5"/>
      <c r="C659" s="5"/>
      <c r="D659" s="5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5"/>
      <c r="B660" s="5"/>
      <c r="C660" s="5"/>
      <c r="D660" s="5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5"/>
      <c r="B661" s="5"/>
      <c r="C661" s="5"/>
      <c r="D661" s="5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5"/>
      <c r="B662" s="5"/>
      <c r="C662" s="5"/>
      <c r="D662" s="5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5"/>
      <c r="B663" s="5"/>
      <c r="C663" s="5"/>
      <c r="D663" s="5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5"/>
      <c r="B664" s="5"/>
      <c r="C664" s="5"/>
      <c r="D664" s="5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5"/>
      <c r="B665" s="5"/>
      <c r="C665" s="5"/>
      <c r="D665" s="5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5"/>
      <c r="B666" s="5"/>
      <c r="C666" s="5"/>
      <c r="D666" s="5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5"/>
      <c r="B667" s="5"/>
      <c r="C667" s="5"/>
      <c r="D667" s="5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5"/>
      <c r="B668" s="5"/>
      <c r="C668" s="5"/>
      <c r="D668" s="5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5"/>
      <c r="B669" s="5"/>
      <c r="C669" s="5"/>
      <c r="D669" s="5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5"/>
      <c r="B670" s="5"/>
      <c r="C670" s="5"/>
      <c r="D670" s="5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5"/>
      <c r="B671" s="5"/>
      <c r="C671" s="5"/>
      <c r="D671" s="5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5"/>
      <c r="B672" s="5"/>
      <c r="C672" s="5"/>
      <c r="D672" s="5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5"/>
      <c r="B673" s="5"/>
      <c r="C673" s="5"/>
      <c r="D673" s="5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5"/>
      <c r="B674" s="5"/>
      <c r="C674" s="5"/>
      <c r="D674" s="5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5"/>
      <c r="B675" s="5"/>
      <c r="C675" s="5"/>
      <c r="D675" s="5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5"/>
      <c r="B676" s="5"/>
      <c r="C676" s="5"/>
      <c r="D676" s="5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5"/>
      <c r="B677" s="5"/>
      <c r="C677" s="5"/>
      <c r="D677" s="5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5"/>
      <c r="B678" s="5"/>
      <c r="C678" s="5"/>
      <c r="D678" s="5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5"/>
      <c r="B679" s="5"/>
      <c r="C679" s="5"/>
      <c r="D679" s="5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5"/>
      <c r="B680" s="5"/>
      <c r="C680" s="5"/>
      <c r="D680" s="5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5"/>
      <c r="B681" s="5"/>
      <c r="C681" s="5"/>
      <c r="D681" s="5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5"/>
      <c r="B682" s="5"/>
      <c r="C682" s="5"/>
      <c r="D682" s="5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5"/>
      <c r="B683" s="5"/>
      <c r="C683" s="5"/>
      <c r="D683" s="5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5"/>
      <c r="B684" s="5"/>
      <c r="C684" s="5"/>
      <c r="D684" s="5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5"/>
      <c r="B685" s="5"/>
      <c r="C685" s="5"/>
      <c r="D685" s="5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5"/>
      <c r="B686" s="5"/>
      <c r="C686" s="5"/>
      <c r="D686" s="5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5"/>
      <c r="B687" s="5"/>
      <c r="C687" s="5"/>
      <c r="D687" s="5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5"/>
      <c r="B688" s="5"/>
      <c r="C688" s="5"/>
      <c r="D688" s="5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5"/>
      <c r="B689" s="5"/>
      <c r="C689" s="5"/>
      <c r="D689" s="5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5"/>
      <c r="B690" s="5"/>
      <c r="C690" s="5"/>
      <c r="D690" s="5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5"/>
      <c r="B691" s="5"/>
      <c r="C691" s="5"/>
      <c r="D691" s="5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5"/>
      <c r="B692" s="5"/>
      <c r="C692" s="5"/>
      <c r="D692" s="5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5"/>
      <c r="B693" s="5"/>
      <c r="C693" s="5"/>
      <c r="D693" s="5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5"/>
      <c r="B694" s="5"/>
      <c r="C694" s="5"/>
      <c r="D694" s="5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5"/>
      <c r="B695" s="5"/>
      <c r="C695" s="5"/>
      <c r="D695" s="5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5"/>
      <c r="B696" s="5"/>
      <c r="C696" s="5"/>
      <c r="D696" s="5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5"/>
      <c r="B697" s="5"/>
      <c r="C697" s="5"/>
      <c r="D697" s="5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5"/>
      <c r="B698" s="5"/>
      <c r="C698" s="5"/>
      <c r="D698" s="5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5"/>
      <c r="B699" s="5"/>
      <c r="C699" s="5"/>
      <c r="D699" s="5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5"/>
      <c r="B700" s="5"/>
      <c r="C700" s="5"/>
      <c r="D700" s="5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5"/>
      <c r="B701" s="5"/>
      <c r="C701" s="5"/>
      <c r="D701" s="5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5"/>
      <c r="B702" s="5"/>
      <c r="C702" s="5"/>
      <c r="D702" s="5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5"/>
      <c r="B703" s="5"/>
      <c r="C703" s="5"/>
      <c r="D703" s="5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5"/>
      <c r="B704" s="5"/>
      <c r="C704" s="5"/>
      <c r="D704" s="5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5"/>
      <c r="B705" s="5"/>
      <c r="C705" s="5"/>
      <c r="D705" s="5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5"/>
      <c r="B706" s="5"/>
      <c r="C706" s="5"/>
      <c r="D706" s="5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5"/>
      <c r="B707" s="5"/>
      <c r="C707" s="5"/>
      <c r="D707" s="5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5"/>
      <c r="B708" s="5"/>
      <c r="C708" s="5"/>
      <c r="D708" s="5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5"/>
      <c r="B709" s="5"/>
      <c r="C709" s="5"/>
      <c r="D709" s="5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5"/>
      <c r="B710" s="5"/>
      <c r="C710" s="5"/>
      <c r="D710" s="5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5"/>
      <c r="B711" s="5"/>
      <c r="C711" s="5"/>
      <c r="D711" s="5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5"/>
      <c r="B712" s="5"/>
      <c r="C712" s="5"/>
      <c r="D712" s="5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5"/>
      <c r="B713" s="5"/>
      <c r="C713" s="5"/>
      <c r="D713" s="5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5"/>
      <c r="B714" s="5"/>
      <c r="C714" s="5"/>
      <c r="D714" s="5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5"/>
      <c r="B715" s="5"/>
      <c r="C715" s="5"/>
      <c r="D715" s="5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5"/>
      <c r="B716" s="5"/>
      <c r="C716" s="5"/>
      <c r="D716" s="5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5"/>
      <c r="B717" s="5"/>
      <c r="C717" s="5"/>
      <c r="D717" s="5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5"/>
      <c r="B718" s="5"/>
      <c r="C718" s="5"/>
      <c r="D718" s="5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5"/>
      <c r="B719" s="5"/>
      <c r="C719" s="5"/>
      <c r="D719" s="5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5"/>
      <c r="B720" s="5"/>
      <c r="C720" s="5"/>
      <c r="D720" s="5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5"/>
      <c r="B721" s="5"/>
      <c r="C721" s="5"/>
      <c r="D721" s="5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5"/>
      <c r="B722" s="5"/>
      <c r="C722" s="5"/>
      <c r="D722" s="5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5"/>
      <c r="B723" s="5"/>
      <c r="C723" s="5"/>
      <c r="D723" s="5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5"/>
      <c r="B724" s="5"/>
      <c r="C724" s="5"/>
      <c r="D724" s="5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5"/>
      <c r="B725" s="5"/>
      <c r="C725" s="5"/>
      <c r="D725" s="5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5"/>
      <c r="B726" s="5"/>
      <c r="C726" s="5"/>
      <c r="D726" s="5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5"/>
      <c r="B727" s="5"/>
      <c r="C727" s="5"/>
      <c r="D727" s="5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5"/>
      <c r="B728" s="5"/>
      <c r="C728" s="5"/>
      <c r="D728" s="5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5"/>
      <c r="B729" s="5"/>
      <c r="C729" s="5"/>
      <c r="D729" s="5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5"/>
      <c r="B730" s="5"/>
      <c r="C730" s="5"/>
      <c r="D730" s="5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5"/>
      <c r="B731" s="5"/>
      <c r="C731" s="5"/>
      <c r="D731" s="5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5"/>
      <c r="B732" s="5"/>
      <c r="C732" s="5"/>
      <c r="D732" s="5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5"/>
      <c r="B733" s="5"/>
      <c r="C733" s="5"/>
      <c r="D733" s="5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5"/>
      <c r="B734" s="5"/>
      <c r="C734" s="5"/>
      <c r="D734" s="5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5"/>
      <c r="B735" s="5"/>
      <c r="C735" s="5"/>
      <c r="D735" s="5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5"/>
      <c r="B736" s="5"/>
      <c r="C736" s="5"/>
      <c r="D736" s="5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5"/>
      <c r="B737" s="5"/>
      <c r="C737" s="5"/>
      <c r="D737" s="5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5"/>
      <c r="B738" s="5"/>
      <c r="C738" s="5"/>
      <c r="D738" s="5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5"/>
      <c r="B739" s="5"/>
      <c r="C739" s="5"/>
      <c r="D739" s="5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5"/>
      <c r="B740" s="5"/>
      <c r="C740" s="5"/>
      <c r="D740" s="5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5"/>
      <c r="B741" s="5"/>
      <c r="C741" s="5"/>
      <c r="D741" s="5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5"/>
      <c r="B742" s="5"/>
      <c r="C742" s="5"/>
      <c r="D742" s="5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5"/>
      <c r="B743" s="5"/>
      <c r="C743" s="5"/>
      <c r="D743" s="5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5"/>
      <c r="B744" s="5"/>
      <c r="C744" s="5"/>
      <c r="D744" s="5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5"/>
      <c r="B745" s="5"/>
      <c r="C745" s="5"/>
      <c r="D745" s="5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5"/>
      <c r="B746" s="5"/>
      <c r="C746" s="5"/>
      <c r="D746" s="5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5"/>
      <c r="B747" s="5"/>
      <c r="C747" s="5"/>
      <c r="D747" s="5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5"/>
      <c r="B748" s="5"/>
      <c r="C748" s="5"/>
      <c r="D748" s="5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5"/>
      <c r="B749" s="5"/>
      <c r="C749" s="5"/>
      <c r="D749" s="5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5"/>
      <c r="B750" s="5"/>
      <c r="C750" s="5"/>
      <c r="D750" s="5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5"/>
      <c r="B751" s="5"/>
      <c r="C751" s="5"/>
      <c r="D751" s="5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5"/>
      <c r="B752" s="5"/>
      <c r="C752" s="5"/>
      <c r="D752" s="5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5"/>
      <c r="B753" s="5"/>
      <c r="C753" s="5"/>
      <c r="D753" s="5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5"/>
      <c r="B754" s="5"/>
      <c r="C754" s="5"/>
      <c r="D754" s="5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5"/>
      <c r="B755" s="5"/>
      <c r="C755" s="5"/>
      <c r="D755" s="5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5"/>
      <c r="B756" s="5"/>
      <c r="C756" s="5"/>
      <c r="D756" s="5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5"/>
      <c r="B757" s="5"/>
      <c r="C757" s="5"/>
      <c r="D757" s="5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5"/>
      <c r="B758" s="5"/>
      <c r="C758" s="5"/>
      <c r="D758" s="5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5"/>
      <c r="B759" s="5"/>
      <c r="C759" s="5"/>
      <c r="D759" s="5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5"/>
      <c r="B760" s="5"/>
      <c r="C760" s="5"/>
      <c r="D760" s="5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5"/>
      <c r="B761" s="5"/>
      <c r="C761" s="5"/>
      <c r="D761" s="5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5"/>
      <c r="B762" s="5"/>
      <c r="C762" s="5"/>
      <c r="D762" s="5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5"/>
      <c r="B763" s="5"/>
      <c r="C763" s="5"/>
      <c r="D763" s="5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5"/>
      <c r="B764" s="5"/>
      <c r="C764" s="5"/>
      <c r="D764" s="5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5"/>
      <c r="B765" s="5"/>
      <c r="C765" s="5"/>
      <c r="D765" s="5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5"/>
      <c r="B766" s="5"/>
      <c r="C766" s="5"/>
      <c r="D766" s="5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5"/>
      <c r="B767" s="5"/>
      <c r="C767" s="5"/>
      <c r="D767" s="5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5"/>
      <c r="B768" s="5"/>
      <c r="C768" s="5"/>
      <c r="D768" s="5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5"/>
      <c r="B769" s="5"/>
      <c r="C769" s="5"/>
      <c r="D769" s="5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5"/>
      <c r="B770" s="5"/>
      <c r="C770" s="5"/>
      <c r="D770" s="5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5"/>
      <c r="B771" s="5"/>
      <c r="C771" s="5"/>
      <c r="D771" s="5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5"/>
      <c r="B772" s="5"/>
      <c r="C772" s="5"/>
      <c r="D772" s="5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5"/>
      <c r="B773" s="5"/>
      <c r="C773" s="5"/>
      <c r="D773" s="5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5"/>
      <c r="B774" s="5"/>
      <c r="C774" s="5"/>
      <c r="D774" s="5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5"/>
      <c r="B775" s="5"/>
      <c r="C775" s="5"/>
      <c r="D775" s="5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5"/>
      <c r="B776" s="5"/>
      <c r="C776" s="5"/>
      <c r="D776" s="5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5"/>
      <c r="B777" s="5"/>
      <c r="C777" s="5"/>
      <c r="D777" s="5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5"/>
      <c r="B778" s="5"/>
      <c r="C778" s="5"/>
      <c r="D778" s="5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5"/>
      <c r="B779" s="5"/>
      <c r="C779" s="5"/>
      <c r="D779" s="5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5"/>
      <c r="B780" s="5"/>
      <c r="C780" s="5"/>
      <c r="D780" s="5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5"/>
      <c r="B781" s="5"/>
      <c r="C781" s="5"/>
      <c r="D781" s="5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5"/>
      <c r="B782" s="5"/>
      <c r="C782" s="5"/>
      <c r="D782" s="5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5"/>
      <c r="B783" s="5"/>
      <c r="C783" s="5"/>
      <c r="D783" s="5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5"/>
      <c r="B784" s="5"/>
      <c r="C784" s="5"/>
      <c r="D784" s="5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5"/>
      <c r="B785" s="5"/>
      <c r="C785" s="5"/>
      <c r="D785" s="5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5"/>
      <c r="B786" s="5"/>
      <c r="C786" s="5"/>
      <c r="D786" s="5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5"/>
      <c r="B787" s="5"/>
      <c r="C787" s="5"/>
      <c r="D787" s="5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5"/>
      <c r="B788" s="5"/>
      <c r="C788" s="5"/>
      <c r="D788" s="5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5"/>
      <c r="B789" s="5"/>
      <c r="C789" s="5"/>
      <c r="D789" s="5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5"/>
      <c r="B790" s="5"/>
      <c r="C790" s="5"/>
      <c r="D790" s="5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5"/>
      <c r="B791" s="5"/>
      <c r="C791" s="5"/>
      <c r="D791" s="5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5"/>
      <c r="B792" s="5"/>
      <c r="C792" s="5"/>
      <c r="D792" s="5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5"/>
      <c r="B793" s="5"/>
      <c r="C793" s="5"/>
      <c r="D793" s="5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5"/>
      <c r="B794" s="5"/>
      <c r="C794" s="5"/>
      <c r="D794" s="5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5"/>
      <c r="B795" s="5"/>
      <c r="C795" s="5"/>
      <c r="D795" s="5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5"/>
      <c r="B796" s="5"/>
      <c r="C796" s="5"/>
      <c r="D796" s="5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5"/>
      <c r="B797" s="5"/>
      <c r="C797" s="5"/>
      <c r="D797" s="5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5"/>
      <c r="B798" s="5"/>
      <c r="C798" s="5"/>
      <c r="D798" s="5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5"/>
      <c r="B799" s="5"/>
      <c r="C799" s="5"/>
      <c r="D799" s="5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5"/>
      <c r="B800" s="5"/>
      <c r="C800" s="5"/>
      <c r="D800" s="5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5"/>
      <c r="B801" s="5"/>
      <c r="C801" s="5"/>
      <c r="D801" s="5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5"/>
      <c r="B802" s="5"/>
      <c r="C802" s="5"/>
      <c r="D802" s="5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5"/>
      <c r="B803" s="5"/>
      <c r="C803" s="5"/>
      <c r="D803" s="5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5"/>
      <c r="B804" s="5"/>
      <c r="C804" s="5"/>
      <c r="D804" s="5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5"/>
      <c r="B805" s="5"/>
      <c r="C805" s="5"/>
      <c r="D805" s="5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5"/>
      <c r="B806" s="5"/>
      <c r="C806" s="5"/>
      <c r="D806" s="5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5"/>
      <c r="B807" s="5"/>
      <c r="C807" s="5"/>
      <c r="D807" s="5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5"/>
      <c r="B808" s="5"/>
      <c r="C808" s="5"/>
      <c r="D808" s="5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5"/>
      <c r="B809" s="5"/>
      <c r="C809" s="5"/>
      <c r="D809" s="5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5"/>
      <c r="B810" s="5"/>
      <c r="C810" s="5"/>
      <c r="D810" s="5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5"/>
      <c r="B811" s="5"/>
      <c r="C811" s="5"/>
      <c r="D811" s="5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5"/>
      <c r="B812" s="5"/>
      <c r="C812" s="5"/>
      <c r="D812" s="5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5"/>
      <c r="B813" s="5"/>
      <c r="C813" s="5"/>
      <c r="D813" s="5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5"/>
      <c r="B814" s="5"/>
      <c r="C814" s="5"/>
      <c r="D814" s="5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5"/>
      <c r="B815" s="5"/>
      <c r="C815" s="5"/>
      <c r="D815" s="5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5"/>
      <c r="B816" s="5"/>
      <c r="C816" s="5"/>
      <c r="D816" s="5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5"/>
      <c r="B817" s="5"/>
      <c r="C817" s="5"/>
      <c r="D817" s="5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5"/>
      <c r="B818" s="5"/>
      <c r="C818" s="5"/>
      <c r="D818" s="5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5"/>
      <c r="B819" s="5"/>
      <c r="C819" s="5"/>
      <c r="D819" s="5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5"/>
      <c r="B820" s="5"/>
      <c r="C820" s="5"/>
      <c r="D820" s="5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5"/>
      <c r="B821" s="5"/>
      <c r="C821" s="5"/>
      <c r="D821" s="5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5"/>
      <c r="B822" s="5"/>
      <c r="C822" s="5"/>
      <c r="D822" s="5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5"/>
      <c r="B823" s="5"/>
      <c r="C823" s="5"/>
      <c r="D823" s="5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5"/>
      <c r="B824" s="5"/>
      <c r="C824" s="5"/>
      <c r="D824" s="5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5"/>
      <c r="B825" s="5"/>
      <c r="C825" s="5"/>
      <c r="D825" s="5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5"/>
      <c r="B826" s="5"/>
      <c r="C826" s="5"/>
      <c r="D826" s="5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5"/>
      <c r="B827" s="5"/>
      <c r="C827" s="5"/>
      <c r="D827" s="5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5"/>
      <c r="B828" s="5"/>
      <c r="C828" s="5"/>
      <c r="D828" s="5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5"/>
      <c r="B829" s="5"/>
      <c r="C829" s="5"/>
      <c r="D829" s="5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5"/>
      <c r="B830" s="5"/>
      <c r="C830" s="5"/>
      <c r="D830" s="5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5"/>
      <c r="B831" s="5"/>
      <c r="C831" s="5"/>
      <c r="D831" s="5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5"/>
      <c r="B832" s="5"/>
      <c r="C832" s="5"/>
      <c r="D832" s="5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5"/>
      <c r="B833" s="5"/>
      <c r="C833" s="5"/>
      <c r="D833" s="5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5"/>
      <c r="B834" s="5"/>
      <c r="C834" s="5"/>
      <c r="D834" s="5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5"/>
      <c r="B835" s="5"/>
      <c r="C835" s="5"/>
      <c r="D835" s="5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5"/>
      <c r="B836" s="5"/>
      <c r="C836" s="5"/>
      <c r="D836" s="5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5"/>
      <c r="B837" s="5"/>
      <c r="C837" s="5"/>
      <c r="D837" s="5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5"/>
      <c r="B838" s="5"/>
      <c r="C838" s="5"/>
      <c r="D838" s="5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5"/>
      <c r="B839" s="5"/>
      <c r="C839" s="5"/>
      <c r="D839" s="5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5"/>
      <c r="B840" s="5"/>
      <c r="C840" s="5"/>
      <c r="D840" s="5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5"/>
      <c r="B841" s="5"/>
      <c r="C841" s="5"/>
      <c r="D841" s="5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5"/>
      <c r="B842" s="5"/>
      <c r="C842" s="5"/>
      <c r="D842" s="5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5"/>
      <c r="B843" s="5"/>
      <c r="C843" s="5"/>
      <c r="D843" s="5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5"/>
      <c r="B844" s="5"/>
      <c r="C844" s="5"/>
      <c r="D844" s="5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5"/>
      <c r="B845" s="5"/>
      <c r="C845" s="5"/>
      <c r="D845" s="5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5"/>
      <c r="B846" s="5"/>
      <c r="C846" s="5"/>
      <c r="D846" s="5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5"/>
      <c r="B847" s="5"/>
      <c r="C847" s="5"/>
      <c r="D847" s="5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5"/>
      <c r="B848" s="5"/>
      <c r="C848" s="5"/>
      <c r="D848" s="5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5"/>
      <c r="B849" s="5"/>
      <c r="C849" s="5"/>
      <c r="D849" s="5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5"/>
      <c r="B850" s="5"/>
      <c r="C850" s="5"/>
      <c r="D850" s="5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5"/>
      <c r="B851" s="5"/>
      <c r="C851" s="5"/>
      <c r="D851" s="5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5"/>
      <c r="B852" s="5"/>
      <c r="C852" s="5"/>
      <c r="D852" s="5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5"/>
      <c r="B853" s="5"/>
      <c r="C853" s="5"/>
      <c r="D853" s="5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5"/>
      <c r="B854" s="5"/>
      <c r="C854" s="5"/>
      <c r="D854" s="5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5"/>
      <c r="B855" s="5"/>
      <c r="C855" s="5"/>
      <c r="D855" s="5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5"/>
      <c r="B856" s="5"/>
      <c r="C856" s="5"/>
      <c r="D856" s="5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5"/>
      <c r="B857" s="5"/>
      <c r="C857" s="5"/>
      <c r="D857" s="5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5"/>
      <c r="B858" s="5"/>
      <c r="C858" s="5"/>
      <c r="D858" s="5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5"/>
      <c r="B859" s="5"/>
      <c r="C859" s="5"/>
      <c r="D859" s="5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5"/>
      <c r="B860" s="5"/>
      <c r="C860" s="5"/>
      <c r="D860" s="5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5"/>
      <c r="B861" s="5"/>
      <c r="C861" s="5"/>
      <c r="D861" s="5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5"/>
      <c r="B862" s="5"/>
      <c r="C862" s="5"/>
      <c r="D862" s="5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5"/>
      <c r="B863" s="5"/>
      <c r="C863" s="5"/>
      <c r="D863" s="5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5"/>
      <c r="B864" s="5"/>
      <c r="C864" s="5"/>
      <c r="D864" s="5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5"/>
      <c r="B865" s="5"/>
      <c r="C865" s="5"/>
      <c r="D865" s="5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5"/>
      <c r="B866" s="5"/>
      <c r="C866" s="5"/>
      <c r="D866" s="5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5"/>
      <c r="B867" s="5"/>
      <c r="C867" s="5"/>
      <c r="D867" s="5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5"/>
      <c r="B868" s="5"/>
      <c r="C868" s="5"/>
      <c r="D868" s="5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5"/>
      <c r="B869" s="5"/>
      <c r="C869" s="5"/>
      <c r="D869" s="5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5"/>
      <c r="B870" s="5"/>
      <c r="C870" s="5"/>
      <c r="D870" s="5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5"/>
      <c r="B871" s="5"/>
      <c r="C871" s="5"/>
      <c r="D871" s="5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5"/>
      <c r="B872" s="5"/>
      <c r="C872" s="5"/>
      <c r="D872" s="5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5"/>
      <c r="B873" s="5"/>
      <c r="C873" s="5"/>
      <c r="D873" s="5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5"/>
      <c r="B874" s="5"/>
      <c r="C874" s="5"/>
      <c r="D874" s="5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5"/>
      <c r="B875" s="5"/>
      <c r="C875" s="5"/>
      <c r="D875" s="5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5"/>
      <c r="B876" s="5"/>
      <c r="C876" s="5"/>
      <c r="D876" s="5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5"/>
      <c r="B877" s="5"/>
      <c r="C877" s="5"/>
      <c r="D877" s="5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5"/>
      <c r="B878" s="5"/>
      <c r="C878" s="5"/>
      <c r="D878" s="5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5"/>
      <c r="B879" s="5"/>
      <c r="C879" s="5"/>
      <c r="D879" s="5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5"/>
      <c r="B880" s="5"/>
      <c r="C880" s="5"/>
      <c r="D880" s="5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5"/>
      <c r="B881" s="5"/>
      <c r="C881" s="5"/>
      <c r="D881" s="5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5"/>
      <c r="B882" s="5"/>
      <c r="C882" s="5"/>
      <c r="D882" s="5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5"/>
      <c r="B883" s="5"/>
      <c r="C883" s="5"/>
      <c r="D883" s="5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5"/>
      <c r="B884" s="5"/>
      <c r="C884" s="5"/>
      <c r="D884" s="5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5"/>
      <c r="B885" s="5"/>
      <c r="C885" s="5"/>
      <c r="D885" s="5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5"/>
      <c r="B886" s="5"/>
      <c r="C886" s="5"/>
      <c r="D886" s="5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5"/>
      <c r="B887" s="5"/>
      <c r="C887" s="5"/>
      <c r="D887" s="5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5"/>
      <c r="B888" s="5"/>
      <c r="C888" s="5"/>
      <c r="D888" s="5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5"/>
      <c r="B889" s="5"/>
      <c r="C889" s="5"/>
      <c r="D889" s="5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5"/>
      <c r="B890" s="5"/>
      <c r="C890" s="5"/>
      <c r="D890" s="5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5"/>
      <c r="B891" s="5"/>
      <c r="C891" s="5"/>
      <c r="D891" s="5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5"/>
      <c r="B892" s="5"/>
      <c r="C892" s="5"/>
      <c r="D892" s="5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5"/>
      <c r="B893" s="5"/>
      <c r="C893" s="5"/>
      <c r="D893" s="5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5"/>
      <c r="B894" s="5"/>
      <c r="C894" s="5"/>
      <c r="D894" s="5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5"/>
      <c r="B895" s="5"/>
      <c r="C895" s="5"/>
      <c r="D895" s="5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5"/>
      <c r="B896" s="5"/>
      <c r="C896" s="5"/>
      <c r="D896" s="5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5"/>
      <c r="B897" s="5"/>
      <c r="C897" s="5"/>
      <c r="D897" s="5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5"/>
      <c r="B898" s="5"/>
      <c r="C898" s="5"/>
      <c r="D898" s="5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5"/>
      <c r="B899" s="5"/>
      <c r="C899" s="5"/>
      <c r="D899" s="5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5"/>
      <c r="B900" s="5"/>
      <c r="C900" s="5"/>
      <c r="D900" s="5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5"/>
      <c r="B901" s="5"/>
      <c r="C901" s="5"/>
      <c r="D901" s="5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5"/>
      <c r="B902" s="5"/>
      <c r="C902" s="5"/>
      <c r="D902" s="5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5"/>
      <c r="B903" s="5"/>
      <c r="C903" s="5"/>
      <c r="D903" s="5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5"/>
      <c r="B904" s="5"/>
      <c r="C904" s="5"/>
      <c r="D904" s="5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5"/>
      <c r="B905" s="5"/>
      <c r="C905" s="5"/>
      <c r="D905" s="5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5"/>
      <c r="B906" s="5"/>
      <c r="C906" s="5"/>
      <c r="D906" s="5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5"/>
      <c r="B907" s="5"/>
      <c r="C907" s="5"/>
      <c r="D907" s="5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5"/>
      <c r="B908" s="5"/>
      <c r="C908" s="5"/>
      <c r="D908" s="5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5"/>
      <c r="B909" s="5"/>
      <c r="C909" s="5"/>
      <c r="D909" s="5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5"/>
      <c r="B910" s="5"/>
      <c r="C910" s="5"/>
      <c r="D910" s="5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5"/>
      <c r="B911" s="5"/>
      <c r="C911" s="5"/>
      <c r="D911" s="5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5"/>
      <c r="B912" s="5"/>
      <c r="C912" s="5"/>
      <c r="D912" s="5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5"/>
      <c r="B913" s="5"/>
      <c r="C913" s="5"/>
      <c r="D913" s="5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5"/>
      <c r="B914" s="5"/>
      <c r="C914" s="5"/>
      <c r="D914" s="5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5"/>
      <c r="B915" s="5"/>
      <c r="C915" s="5"/>
      <c r="D915" s="5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5"/>
      <c r="B916" s="5"/>
      <c r="C916" s="5"/>
      <c r="D916" s="5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5"/>
      <c r="B917" s="5"/>
      <c r="C917" s="5"/>
      <c r="D917" s="5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5"/>
      <c r="B918" s="5"/>
      <c r="C918" s="5"/>
      <c r="D918" s="5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5"/>
      <c r="B919" s="5"/>
      <c r="C919" s="5"/>
      <c r="D919" s="5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5"/>
      <c r="B920" s="5"/>
      <c r="C920" s="5"/>
      <c r="D920" s="5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5"/>
      <c r="B921" s="5"/>
      <c r="C921" s="5"/>
      <c r="D921" s="5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5"/>
      <c r="B922" s="5"/>
      <c r="C922" s="5"/>
      <c r="D922" s="5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5"/>
      <c r="B923" s="5"/>
      <c r="C923" s="5"/>
      <c r="D923" s="5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5"/>
      <c r="B924" s="5"/>
      <c r="C924" s="5"/>
      <c r="D924" s="5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5"/>
      <c r="B925" s="5"/>
      <c r="C925" s="5"/>
      <c r="D925" s="5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5"/>
      <c r="B926" s="5"/>
      <c r="C926" s="5"/>
      <c r="D926" s="5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5"/>
      <c r="B927" s="5"/>
      <c r="C927" s="5"/>
      <c r="D927" s="5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5"/>
      <c r="B928" s="5"/>
      <c r="C928" s="5"/>
      <c r="D928" s="5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5"/>
      <c r="B929" s="5"/>
      <c r="C929" s="5"/>
      <c r="D929" s="5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5"/>
      <c r="B930" s="5"/>
      <c r="C930" s="5"/>
      <c r="D930" s="5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5"/>
      <c r="B931" s="5"/>
      <c r="C931" s="5"/>
      <c r="D931" s="5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5"/>
      <c r="B932" s="5"/>
      <c r="C932" s="5"/>
      <c r="D932" s="5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5"/>
      <c r="B933" s="5"/>
      <c r="C933" s="5"/>
      <c r="D933" s="5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5"/>
      <c r="B934" s="5"/>
      <c r="C934" s="5"/>
      <c r="D934" s="5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5"/>
      <c r="B935" s="5"/>
      <c r="C935" s="5"/>
      <c r="D935" s="5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5"/>
      <c r="B936" s="5"/>
      <c r="C936" s="5"/>
      <c r="D936" s="5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5"/>
      <c r="B937" s="5"/>
      <c r="C937" s="5"/>
      <c r="D937" s="5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5"/>
      <c r="B938" s="5"/>
      <c r="C938" s="5"/>
      <c r="D938" s="5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5"/>
      <c r="B939" s="5"/>
      <c r="C939" s="5"/>
      <c r="D939" s="5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5"/>
      <c r="B940" s="5"/>
      <c r="C940" s="5"/>
      <c r="D940" s="5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5"/>
      <c r="B941" s="5"/>
      <c r="C941" s="5"/>
      <c r="D941" s="5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5"/>
      <c r="B942" s="5"/>
      <c r="C942" s="5"/>
      <c r="D942" s="5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5"/>
      <c r="B943" s="5"/>
      <c r="C943" s="5"/>
      <c r="D943" s="5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5"/>
      <c r="B944" s="5"/>
      <c r="C944" s="5"/>
      <c r="D944" s="5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5"/>
      <c r="B945" s="5"/>
      <c r="C945" s="5"/>
      <c r="D945" s="5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5"/>
      <c r="B946" s="5"/>
      <c r="C946" s="5"/>
      <c r="D946" s="5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5"/>
      <c r="B947" s="5"/>
      <c r="C947" s="5"/>
      <c r="D947" s="5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5"/>
      <c r="B948" s="5"/>
      <c r="C948" s="5"/>
      <c r="D948" s="5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5"/>
      <c r="B949" s="5"/>
      <c r="C949" s="5"/>
      <c r="D949" s="5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5"/>
      <c r="B950" s="5"/>
      <c r="C950" s="5"/>
      <c r="D950" s="5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5"/>
      <c r="B951" s="5"/>
      <c r="C951" s="5"/>
      <c r="D951" s="5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5"/>
      <c r="B952" s="5"/>
      <c r="C952" s="5"/>
      <c r="D952" s="5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5"/>
      <c r="B953" s="5"/>
      <c r="C953" s="5"/>
      <c r="D953" s="5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5"/>
      <c r="B954" s="5"/>
      <c r="C954" s="5"/>
      <c r="D954" s="5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5"/>
      <c r="B955" s="5"/>
      <c r="C955" s="5"/>
      <c r="D955" s="5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5"/>
      <c r="B956" s="5"/>
      <c r="C956" s="5"/>
      <c r="D956" s="5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5"/>
      <c r="B957" s="5"/>
      <c r="C957" s="5"/>
      <c r="D957" s="5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5"/>
      <c r="B958" s="5"/>
      <c r="C958" s="5"/>
      <c r="D958" s="5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5"/>
      <c r="B959" s="5"/>
      <c r="C959" s="5"/>
      <c r="D959" s="5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5"/>
      <c r="B960" s="5"/>
      <c r="C960" s="5"/>
      <c r="D960" s="5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5"/>
      <c r="B961" s="5"/>
      <c r="C961" s="5"/>
      <c r="D961" s="5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5"/>
      <c r="B962" s="5"/>
      <c r="C962" s="5"/>
      <c r="D962" s="5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5"/>
      <c r="B963" s="5"/>
      <c r="C963" s="5"/>
      <c r="D963" s="5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5"/>
      <c r="B964" s="5"/>
      <c r="C964" s="5"/>
      <c r="D964" s="5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5"/>
      <c r="B965" s="5"/>
      <c r="C965" s="5"/>
      <c r="D965" s="5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5"/>
      <c r="B966" s="5"/>
      <c r="C966" s="5"/>
      <c r="D966" s="5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5"/>
      <c r="B967" s="5"/>
      <c r="C967" s="5"/>
      <c r="D967" s="5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5"/>
      <c r="B968" s="5"/>
      <c r="C968" s="5"/>
      <c r="D968" s="5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5"/>
      <c r="B969" s="5"/>
      <c r="C969" s="5"/>
      <c r="D969" s="5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5"/>
      <c r="B970" s="5"/>
      <c r="C970" s="5"/>
      <c r="D970" s="5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5"/>
      <c r="B971" s="5"/>
      <c r="C971" s="5"/>
      <c r="D971" s="5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5"/>
      <c r="B972" s="5"/>
      <c r="C972" s="5"/>
      <c r="D972" s="5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5"/>
      <c r="B973" s="5"/>
      <c r="C973" s="5"/>
      <c r="D973" s="5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5"/>
      <c r="B974" s="5"/>
      <c r="C974" s="5"/>
      <c r="D974" s="5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5"/>
      <c r="B975" s="5"/>
      <c r="C975" s="5"/>
      <c r="D975" s="5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5"/>
      <c r="B976" s="5"/>
      <c r="C976" s="5"/>
      <c r="D976" s="5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5"/>
      <c r="B977" s="5"/>
      <c r="C977" s="5"/>
      <c r="D977" s="5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5"/>
      <c r="B978" s="5"/>
      <c r="C978" s="5"/>
      <c r="D978" s="5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5"/>
      <c r="B979" s="5"/>
      <c r="C979" s="5"/>
      <c r="D979" s="5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5"/>
      <c r="B980" s="5"/>
      <c r="C980" s="5"/>
      <c r="D980" s="5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5"/>
      <c r="B981" s="5"/>
      <c r="C981" s="5"/>
      <c r="D981" s="5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5"/>
      <c r="B982" s="5"/>
      <c r="C982" s="5"/>
      <c r="D982" s="5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5"/>
      <c r="B983" s="5"/>
      <c r="C983" s="5"/>
      <c r="D983" s="5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5"/>
      <c r="B984" s="5"/>
      <c r="C984" s="5"/>
      <c r="D984" s="5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5"/>
      <c r="B985" s="5"/>
      <c r="C985" s="5"/>
      <c r="D985" s="5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5"/>
      <c r="B986" s="5"/>
      <c r="C986" s="5"/>
      <c r="D986" s="5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5"/>
      <c r="B987" s="5"/>
      <c r="C987" s="5"/>
      <c r="D987" s="5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5"/>
      <c r="B988" s="5"/>
      <c r="C988" s="5"/>
      <c r="D988" s="5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5"/>
      <c r="B989" s="5"/>
      <c r="C989" s="5"/>
      <c r="D989" s="5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5"/>
      <c r="B990" s="5"/>
      <c r="C990" s="5"/>
      <c r="D990" s="5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5"/>
      <c r="B991" s="5"/>
      <c r="C991" s="5"/>
      <c r="D991" s="5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5"/>
      <c r="B992" s="5"/>
      <c r="C992" s="5"/>
      <c r="D992" s="5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5"/>
      <c r="B993" s="5"/>
      <c r="C993" s="5"/>
      <c r="D993" s="5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5"/>
      <c r="B994" s="5"/>
      <c r="C994" s="5"/>
      <c r="D994" s="5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5"/>
      <c r="B995" s="5"/>
      <c r="C995" s="5"/>
      <c r="D995" s="5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5"/>
      <c r="B996" s="5"/>
      <c r="C996" s="5"/>
      <c r="D996" s="5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5"/>
      <c r="B997" s="5"/>
      <c r="C997" s="5"/>
      <c r="D997" s="5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5"/>
      <c r="B998" s="5"/>
      <c r="C998" s="5"/>
      <c r="D998" s="5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5"/>
      <c r="B999" s="5"/>
      <c r="C999" s="5"/>
      <c r="D999" s="5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5"/>
      <c r="B1000" s="5"/>
      <c r="C1000" s="5"/>
      <c r="D1000" s="5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howErrorMessage="1" sqref="F2">
      <formula1>$B$2:$B$101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13.57"/>
    <col customWidth="1" min="6" max="6" width="9.14"/>
    <col customWidth="1" min="7" max="8" width="16.71"/>
    <col customWidth="1" min="9" max="26" width="9.14"/>
  </cols>
  <sheetData>
    <row r="1">
      <c r="A1" s="1" t="s">
        <v>0</v>
      </c>
      <c r="B1" s="1" t="s">
        <v>207</v>
      </c>
      <c r="C1" s="1" t="s">
        <v>208</v>
      </c>
      <c r="D1" s="1" t="s">
        <v>2</v>
      </c>
      <c r="E1" s="1" t="s">
        <v>3</v>
      </c>
      <c r="F1" s="2"/>
      <c r="G1" s="3" t="s">
        <v>1</v>
      </c>
      <c r="H1" s="4" t="s">
        <v>3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4</v>
      </c>
      <c r="B2" s="2" t="s">
        <v>5</v>
      </c>
      <c r="C2" s="2" t="s">
        <v>209</v>
      </c>
      <c r="D2" s="6">
        <v>2434.0</v>
      </c>
      <c r="E2" s="5" t="s">
        <v>6</v>
      </c>
      <c r="F2" s="2"/>
      <c r="G2" s="7" t="s">
        <v>210</v>
      </c>
      <c r="H2" s="9" t="str">
        <f t="array" ref="H2">XLOOKUP(G2,B:B,E:E,"Não encontrado")</f>
        <v>Não encontrado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8</v>
      </c>
      <c r="B3" s="2" t="s">
        <v>9</v>
      </c>
      <c r="C3" s="2"/>
      <c r="D3" s="6">
        <v>8222.0</v>
      </c>
      <c r="E3" s="5" t="s">
        <v>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11</v>
      </c>
      <c r="B4" s="2" t="s">
        <v>12</v>
      </c>
      <c r="C4" s="2"/>
      <c r="D4" s="6">
        <v>1016.0</v>
      </c>
      <c r="E4" s="5" t="s">
        <v>13</v>
      </c>
      <c r="F4" s="2"/>
      <c r="G4" s="3" t="s">
        <v>1</v>
      </c>
      <c r="H4" s="4" t="s">
        <v>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14</v>
      </c>
      <c r="B5" s="2" t="s">
        <v>15</v>
      </c>
      <c r="C5" s="2"/>
      <c r="D5" s="6">
        <v>6531.0</v>
      </c>
      <c r="E5" s="5" t="s">
        <v>13</v>
      </c>
      <c r="F5" s="2"/>
      <c r="G5" s="7" t="s">
        <v>209</v>
      </c>
      <c r="H5" s="9" t="str">
        <f t="array" ref="H5">XLOOKUP(G5,B:B,E:E,XLOOKUP(G5,C:C,E:E,"Não encontrado"))</f>
        <v>Delta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16</v>
      </c>
      <c r="B6" s="2" t="s">
        <v>17</v>
      </c>
      <c r="C6" s="2"/>
      <c r="D6" s="6">
        <v>8521.0</v>
      </c>
      <c r="E6" s="5" t="s">
        <v>10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18</v>
      </c>
      <c r="B7" s="2" t="s">
        <v>19</v>
      </c>
      <c r="C7" s="2" t="s">
        <v>211</v>
      </c>
      <c r="D7" s="6">
        <v>2924.0</v>
      </c>
      <c r="E7" s="5" t="s">
        <v>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20</v>
      </c>
      <c r="B8" s="2" t="s">
        <v>21</v>
      </c>
      <c r="C8" s="2"/>
      <c r="D8" s="6">
        <v>1232.0</v>
      </c>
      <c r="E8" s="5" t="s">
        <v>6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22</v>
      </c>
      <c r="B9" s="2" t="s">
        <v>23</v>
      </c>
      <c r="C9" s="2"/>
      <c r="D9" s="6">
        <v>948.0</v>
      </c>
      <c r="E9" s="5" t="s">
        <v>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24</v>
      </c>
      <c r="B10" s="2" t="s">
        <v>25</v>
      </c>
      <c r="C10" s="2"/>
      <c r="D10" s="6">
        <v>1750.0</v>
      </c>
      <c r="E10" s="5" t="s">
        <v>10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 t="s">
        <v>26</v>
      </c>
      <c r="B11" s="2" t="s">
        <v>27</v>
      </c>
      <c r="C11" s="2"/>
      <c r="D11" s="6">
        <v>7918.0</v>
      </c>
      <c r="E11" s="5" t="s">
        <v>10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 t="s">
        <v>28</v>
      </c>
      <c r="B12" s="2" t="s">
        <v>29</v>
      </c>
      <c r="C12" s="2" t="s">
        <v>212</v>
      </c>
      <c r="D12" s="6">
        <v>1370.0</v>
      </c>
      <c r="E12" s="5" t="s">
        <v>6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30</v>
      </c>
      <c r="B13" s="2" t="s">
        <v>31</v>
      </c>
      <c r="C13" s="2"/>
      <c r="D13" s="6">
        <v>9365.0</v>
      </c>
      <c r="E13" s="5" t="s">
        <v>13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 t="s">
        <v>32</v>
      </c>
      <c r="B14" s="2" t="s">
        <v>33</v>
      </c>
      <c r="C14" s="2"/>
      <c r="D14" s="6">
        <v>6228.0</v>
      </c>
      <c r="E14" s="5" t="s">
        <v>13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 t="s">
        <v>34</v>
      </c>
      <c r="B15" s="2" t="s">
        <v>35</v>
      </c>
      <c r="C15" s="2"/>
      <c r="D15" s="6">
        <v>1248.0</v>
      </c>
      <c r="E15" s="5" t="s">
        <v>10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 t="s">
        <v>36</v>
      </c>
      <c r="B16" s="2" t="s">
        <v>37</v>
      </c>
      <c r="C16" s="2" t="s">
        <v>213</v>
      </c>
      <c r="D16" s="6">
        <v>5828.0</v>
      </c>
      <c r="E16" s="5" t="s">
        <v>13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38</v>
      </c>
      <c r="B17" s="2" t="s">
        <v>39</v>
      </c>
      <c r="C17" s="2"/>
      <c r="D17" s="6">
        <v>5701.0</v>
      </c>
      <c r="E17" s="5" t="s">
        <v>10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 t="s">
        <v>40</v>
      </c>
      <c r="B18" s="2" t="s">
        <v>41</v>
      </c>
      <c r="C18" s="2"/>
      <c r="D18" s="6">
        <v>7500.0</v>
      </c>
      <c r="E18" s="5" t="s">
        <v>13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 t="s">
        <v>42</v>
      </c>
      <c r="B19" s="2" t="s">
        <v>43</v>
      </c>
      <c r="C19" s="2"/>
      <c r="D19" s="6">
        <v>5565.0</v>
      </c>
      <c r="E19" s="5" t="s">
        <v>6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 t="s">
        <v>44</v>
      </c>
      <c r="B20" s="2" t="s">
        <v>45</v>
      </c>
      <c r="C20" s="2" t="s">
        <v>214</v>
      </c>
      <c r="D20" s="6">
        <v>5900.0</v>
      </c>
      <c r="E20" s="5" t="s">
        <v>10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" t="s">
        <v>46</v>
      </c>
      <c r="B21" s="2" t="s">
        <v>47</v>
      </c>
      <c r="C21" s="2"/>
      <c r="D21" s="6">
        <v>608.0</v>
      </c>
      <c r="E21" s="5" t="s">
        <v>6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" t="s">
        <v>48</v>
      </c>
      <c r="B22" s="2" t="s">
        <v>7</v>
      </c>
      <c r="C22" s="2"/>
      <c r="D22" s="6">
        <v>819.0</v>
      </c>
      <c r="E22" s="5" t="s">
        <v>13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" t="s">
        <v>49</v>
      </c>
      <c r="B23" s="2" t="s">
        <v>50</v>
      </c>
      <c r="C23" s="2" t="s">
        <v>215</v>
      </c>
      <c r="D23" s="6">
        <v>564.0</v>
      </c>
      <c r="E23" s="5" t="s">
        <v>13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 t="s">
        <v>51</v>
      </c>
      <c r="B24" s="2" t="s">
        <v>52</v>
      </c>
      <c r="C24" s="2"/>
      <c r="D24" s="6">
        <v>7861.0</v>
      </c>
      <c r="E24" s="5" t="s">
        <v>6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" t="s">
        <v>53</v>
      </c>
      <c r="B25" s="2" t="s">
        <v>54</v>
      </c>
      <c r="C25" s="2"/>
      <c r="D25" s="6">
        <v>731.0</v>
      </c>
      <c r="E25" s="5" t="s">
        <v>6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" t="s">
        <v>55</v>
      </c>
      <c r="B26" s="2" t="s">
        <v>56</v>
      </c>
      <c r="C26" s="2"/>
      <c r="D26" s="6">
        <v>7150.0</v>
      </c>
      <c r="E26" s="5" t="s">
        <v>10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" t="s">
        <v>57</v>
      </c>
      <c r="B27" s="2" t="s">
        <v>58</v>
      </c>
      <c r="C27" s="2"/>
      <c r="D27" s="6">
        <v>9927.0</v>
      </c>
      <c r="E27" s="5" t="s">
        <v>6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" t="s">
        <v>59</v>
      </c>
      <c r="B28" s="2" t="s">
        <v>60</v>
      </c>
      <c r="C28" s="2"/>
      <c r="D28" s="6">
        <v>2219.0</v>
      </c>
      <c r="E28" s="5" t="s">
        <v>10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" t="s">
        <v>61</v>
      </c>
      <c r="B29" s="2" t="s">
        <v>62</v>
      </c>
      <c r="C29" s="2"/>
      <c r="D29" s="6">
        <v>3079.0</v>
      </c>
      <c r="E29" s="5" t="s">
        <v>13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" t="s">
        <v>63</v>
      </c>
      <c r="B30" s="2" t="s">
        <v>64</v>
      </c>
      <c r="C30" s="2"/>
      <c r="D30" s="6">
        <v>7887.0</v>
      </c>
      <c r="E30" s="5" t="s">
        <v>10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" t="s">
        <v>65</v>
      </c>
      <c r="B31" s="2" t="s">
        <v>66</v>
      </c>
      <c r="C31" s="2" t="s">
        <v>216</v>
      </c>
      <c r="D31" s="6">
        <v>6912.0</v>
      </c>
      <c r="E31" s="5" t="s">
        <v>6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" t="s">
        <v>67</v>
      </c>
      <c r="B32" s="2" t="s">
        <v>68</v>
      </c>
      <c r="C32" s="2"/>
      <c r="D32" s="6">
        <v>6202.0</v>
      </c>
      <c r="E32" s="5" t="s">
        <v>10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5" t="s">
        <v>69</v>
      </c>
      <c r="B33" s="2" t="s">
        <v>70</v>
      </c>
      <c r="C33" s="2"/>
      <c r="D33" s="6">
        <v>3042.0</v>
      </c>
      <c r="E33" s="5" t="s">
        <v>6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5" t="s">
        <v>71</v>
      </c>
      <c r="B34" s="2" t="s">
        <v>72</v>
      </c>
      <c r="C34" s="2"/>
      <c r="D34" s="6">
        <v>1430.0</v>
      </c>
      <c r="E34" s="5" t="s">
        <v>10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5" t="s">
        <v>73</v>
      </c>
      <c r="B35" s="2" t="s">
        <v>74</v>
      </c>
      <c r="C35" s="2"/>
      <c r="D35" s="6">
        <v>2892.0</v>
      </c>
      <c r="E35" s="5" t="s">
        <v>10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5" t="s">
        <v>75</v>
      </c>
      <c r="B36" s="2" t="s">
        <v>76</v>
      </c>
      <c r="C36" s="2"/>
      <c r="D36" s="6">
        <v>9172.0</v>
      </c>
      <c r="E36" s="5" t="s">
        <v>13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5" t="s">
        <v>77</v>
      </c>
      <c r="B37" s="2" t="s">
        <v>78</v>
      </c>
      <c r="C37" s="2"/>
      <c r="D37" s="6">
        <v>357.0</v>
      </c>
      <c r="E37" s="5" t="s">
        <v>10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5" t="s">
        <v>79</v>
      </c>
      <c r="B38" s="2" t="s">
        <v>80</v>
      </c>
      <c r="C38" s="2"/>
      <c r="D38" s="6">
        <v>619.0</v>
      </c>
      <c r="E38" s="5" t="s">
        <v>6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5" t="s">
        <v>81</v>
      </c>
      <c r="B39" s="2" t="s">
        <v>82</v>
      </c>
      <c r="C39" s="2"/>
      <c r="D39" s="6">
        <v>7088.0</v>
      </c>
      <c r="E39" s="5" t="s">
        <v>13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5" t="s">
        <v>83</v>
      </c>
      <c r="B40" s="2" t="s">
        <v>84</v>
      </c>
      <c r="C40" s="2"/>
      <c r="D40" s="6">
        <v>9380.0</v>
      </c>
      <c r="E40" s="5" t="s">
        <v>10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5" t="s">
        <v>85</v>
      </c>
      <c r="B41" s="2" t="s">
        <v>86</v>
      </c>
      <c r="C41" s="2"/>
      <c r="D41" s="6">
        <v>3330.0</v>
      </c>
      <c r="E41" s="5" t="s">
        <v>10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5" t="s">
        <v>87</v>
      </c>
      <c r="B42" s="2" t="s">
        <v>88</v>
      </c>
      <c r="C42" s="2"/>
      <c r="D42" s="6">
        <v>9746.0</v>
      </c>
      <c r="E42" s="5" t="s">
        <v>13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5" t="s">
        <v>89</v>
      </c>
      <c r="B43" s="2" t="s">
        <v>90</v>
      </c>
      <c r="C43" s="2"/>
      <c r="D43" s="6">
        <v>9226.0</v>
      </c>
      <c r="E43" s="5" t="s">
        <v>13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5" t="s">
        <v>91</v>
      </c>
      <c r="B44" s="2" t="s">
        <v>92</v>
      </c>
      <c r="C44" s="2"/>
      <c r="D44" s="6">
        <v>5808.0</v>
      </c>
      <c r="E44" s="5" t="s">
        <v>13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5" t="s">
        <v>93</v>
      </c>
      <c r="B45" s="2" t="s">
        <v>94</v>
      </c>
      <c r="C45" s="2"/>
      <c r="D45" s="6">
        <v>6838.0</v>
      </c>
      <c r="E45" s="5" t="s">
        <v>6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" t="s">
        <v>95</v>
      </c>
      <c r="B46" s="2" t="s">
        <v>96</v>
      </c>
      <c r="C46" s="2"/>
      <c r="D46" s="6">
        <v>6330.0</v>
      </c>
      <c r="E46" s="5" t="s">
        <v>6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5" t="s">
        <v>97</v>
      </c>
      <c r="B47" s="2" t="s">
        <v>98</v>
      </c>
      <c r="C47" s="2" t="s">
        <v>217</v>
      </c>
      <c r="D47" s="6">
        <v>701.0</v>
      </c>
      <c r="E47" s="5" t="s">
        <v>6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5" t="s">
        <v>99</v>
      </c>
      <c r="B48" s="2" t="s">
        <v>100</v>
      </c>
      <c r="C48" s="2"/>
      <c r="D48" s="6">
        <v>7196.0</v>
      </c>
      <c r="E48" s="5" t="s">
        <v>10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5" t="s">
        <v>101</v>
      </c>
      <c r="B49" s="2" t="s">
        <v>102</v>
      </c>
      <c r="C49" s="2"/>
      <c r="D49" s="6">
        <v>6864.0</v>
      </c>
      <c r="E49" s="5" t="s">
        <v>6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5" t="s">
        <v>103</v>
      </c>
      <c r="B50" s="2" t="s">
        <v>104</v>
      </c>
      <c r="C50" s="2"/>
      <c r="D50" s="6">
        <v>1587.0</v>
      </c>
      <c r="E50" s="5" t="s">
        <v>6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5" t="s">
        <v>105</v>
      </c>
      <c r="B51" s="2" t="s">
        <v>106</v>
      </c>
      <c r="C51" s="2"/>
      <c r="D51" s="6">
        <v>4717.0</v>
      </c>
      <c r="E51" s="5" t="s">
        <v>13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5" t="s">
        <v>107</v>
      </c>
      <c r="B52" s="2" t="s">
        <v>108</v>
      </c>
      <c r="C52" s="2"/>
      <c r="D52" s="6">
        <v>6880.0</v>
      </c>
      <c r="E52" s="5" t="s">
        <v>10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5" t="s">
        <v>109</v>
      </c>
      <c r="B53" s="2" t="s">
        <v>110</v>
      </c>
      <c r="C53" s="2"/>
      <c r="D53" s="6">
        <v>4853.0</v>
      </c>
      <c r="E53" s="5" t="s">
        <v>13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5" t="s">
        <v>111</v>
      </c>
      <c r="B54" s="2" t="s">
        <v>112</v>
      </c>
      <c r="C54" s="2"/>
      <c r="D54" s="6">
        <v>801.0</v>
      </c>
      <c r="E54" s="5" t="s">
        <v>10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5" t="s">
        <v>113</v>
      </c>
      <c r="B55" s="2" t="s">
        <v>114</v>
      </c>
      <c r="C55" s="2"/>
      <c r="D55" s="6">
        <v>1928.0</v>
      </c>
      <c r="E55" s="5" t="s">
        <v>13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5" t="s">
        <v>115</v>
      </c>
      <c r="B56" s="2" t="s">
        <v>116</v>
      </c>
      <c r="C56" s="2"/>
      <c r="D56" s="6">
        <v>1028.0</v>
      </c>
      <c r="E56" s="5" t="s">
        <v>13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5" t="s">
        <v>117</v>
      </c>
      <c r="B57" s="2" t="s">
        <v>118</v>
      </c>
      <c r="C57" s="2"/>
      <c r="D57" s="6">
        <v>5895.0</v>
      </c>
      <c r="E57" s="5" t="s">
        <v>10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5" t="s">
        <v>119</v>
      </c>
      <c r="B58" s="2" t="s">
        <v>120</v>
      </c>
      <c r="C58" s="2"/>
      <c r="D58" s="6">
        <v>6489.0</v>
      </c>
      <c r="E58" s="5" t="s">
        <v>6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5" t="s">
        <v>121</v>
      </c>
      <c r="B59" s="2" t="s">
        <v>122</v>
      </c>
      <c r="C59" s="2"/>
      <c r="D59" s="6">
        <v>9959.0</v>
      </c>
      <c r="E59" s="5" t="s">
        <v>10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5" t="s">
        <v>123</v>
      </c>
      <c r="B60" s="2" t="s">
        <v>124</v>
      </c>
      <c r="C60" s="2"/>
      <c r="D60" s="6">
        <v>620.0</v>
      </c>
      <c r="E60" s="5" t="s">
        <v>13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5" t="s">
        <v>125</v>
      </c>
      <c r="B61" s="2" t="s">
        <v>126</v>
      </c>
      <c r="C61" s="2"/>
      <c r="D61" s="6">
        <v>7231.0</v>
      </c>
      <c r="E61" s="5" t="s">
        <v>13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5" t="s">
        <v>127</v>
      </c>
      <c r="B62" s="2" t="s">
        <v>128</v>
      </c>
      <c r="C62" s="2"/>
      <c r="D62" s="6">
        <v>4548.0</v>
      </c>
      <c r="E62" s="5" t="s">
        <v>13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5" t="s">
        <v>129</v>
      </c>
      <c r="B63" s="2" t="s">
        <v>130</v>
      </c>
      <c r="C63" s="2"/>
      <c r="D63" s="6">
        <v>7846.0</v>
      </c>
      <c r="E63" s="5" t="s">
        <v>10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5" t="s">
        <v>131</v>
      </c>
      <c r="B64" s="2" t="s">
        <v>132</v>
      </c>
      <c r="C64" s="2"/>
      <c r="D64" s="6">
        <v>7573.0</v>
      </c>
      <c r="E64" s="5" t="s">
        <v>13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5" t="s">
        <v>133</v>
      </c>
      <c r="B65" s="2" t="s">
        <v>134</v>
      </c>
      <c r="C65" s="2"/>
      <c r="D65" s="6">
        <v>6785.0</v>
      </c>
      <c r="E65" s="5" t="s">
        <v>13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5" t="s">
        <v>135</v>
      </c>
      <c r="B66" s="2" t="s">
        <v>136</v>
      </c>
      <c r="C66" s="2" t="s">
        <v>218</v>
      </c>
      <c r="D66" s="6">
        <v>7699.0</v>
      </c>
      <c r="E66" s="5" t="s">
        <v>13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5" t="s">
        <v>137</v>
      </c>
      <c r="B67" s="2" t="s">
        <v>138</v>
      </c>
      <c r="C67" s="2"/>
      <c r="D67" s="6">
        <v>6281.0</v>
      </c>
      <c r="E67" s="5" t="s">
        <v>6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5" t="s">
        <v>139</v>
      </c>
      <c r="B68" s="2" t="s">
        <v>140</v>
      </c>
      <c r="C68" s="2"/>
      <c r="D68" s="6">
        <v>959.0</v>
      </c>
      <c r="E68" s="5" t="s">
        <v>13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5" t="s">
        <v>141</v>
      </c>
      <c r="B69" s="2" t="s">
        <v>142</v>
      </c>
      <c r="C69" s="2"/>
      <c r="D69" s="6">
        <v>9644.0</v>
      </c>
      <c r="E69" s="5" t="s">
        <v>13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5" t="s">
        <v>143</v>
      </c>
      <c r="B70" s="2" t="s">
        <v>144</v>
      </c>
      <c r="C70" s="2"/>
      <c r="D70" s="6">
        <v>5728.0</v>
      </c>
      <c r="E70" s="5" t="s">
        <v>6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5" t="s">
        <v>145</v>
      </c>
      <c r="B71" s="2" t="s">
        <v>146</v>
      </c>
      <c r="C71" s="2"/>
      <c r="D71" s="6">
        <v>9216.0</v>
      </c>
      <c r="E71" s="5" t="s">
        <v>13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5" t="s">
        <v>147</v>
      </c>
      <c r="B72" s="2" t="s">
        <v>148</v>
      </c>
      <c r="C72" s="2"/>
      <c r="D72" s="6">
        <v>2985.0</v>
      </c>
      <c r="E72" s="5" t="s">
        <v>13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5" t="s">
        <v>149</v>
      </c>
      <c r="B73" s="2" t="s">
        <v>150</v>
      </c>
      <c r="C73" s="2"/>
      <c r="D73" s="6">
        <v>8403.0</v>
      </c>
      <c r="E73" s="5" t="s">
        <v>10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5" t="s">
        <v>151</v>
      </c>
      <c r="B74" s="2" t="s">
        <v>152</v>
      </c>
      <c r="C74" s="2"/>
      <c r="D74" s="6">
        <v>8250.0</v>
      </c>
      <c r="E74" s="5" t="s">
        <v>13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5" t="s">
        <v>153</v>
      </c>
      <c r="B75" s="2" t="s">
        <v>154</v>
      </c>
      <c r="C75" s="2"/>
      <c r="D75" s="6">
        <v>3185.0</v>
      </c>
      <c r="E75" s="5" t="s">
        <v>6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5" t="s">
        <v>155</v>
      </c>
      <c r="B76" s="2" t="s">
        <v>156</v>
      </c>
      <c r="C76" s="2"/>
      <c r="D76" s="6">
        <v>5718.0</v>
      </c>
      <c r="E76" s="5" t="s">
        <v>10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5" t="s">
        <v>157</v>
      </c>
      <c r="B77" s="2" t="s">
        <v>158</v>
      </c>
      <c r="C77" s="2"/>
      <c r="D77" s="6">
        <v>4388.0</v>
      </c>
      <c r="E77" s="5" t="s">
        <v>6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5" t="s">
        <v>159</v>
      </c>
      <c r="B78" s="2" t="s">
        <v>160</v>
      </c>
      <c r="C78" s="2"/>
      <c r="D78" s="6">
        <v>7880.0</v>
      </c>
      <c r="E78" s="5" t="s">
        <v>6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5" t="s">
        <v>161</v>
      </c>
      <c r="B79" s="2" t="s">
        <v>162</v>
      </c>
      <c r="C79" s="2"/>
      <c r="D79" s="6">
        <v>304.0</v>
      </c>
      <c r="E79" s="5" t="s">
        <v>13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5" t="s">
        <v>163</v>
      </c>
      <c r="B80" s="2" t="s">
        <v>164</v>
      </c>
      <c r="C80" s="2"/>
      <c r="D80" s="6">
        <v>8521.0</v>
      </c>
      <c r="E80" s="5" t="s">
        <v>10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5" t="s">
        <v>165</v>
      </c>
      <c r="B81" s="2" t="s">
        <v>166</v>
      </c>
      <c r="C81" s="2"/>
      <c r="D81" s="6">
        <v>9004.0</v>
      </c>
      <c r="E81" s="5" t="s">
        <v>6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5" t="s">
        <v>167</v>
      </c>
      <c r="B82" s="2" t="s">
        <v>168</v>
      </c>
      <c r="C82" s="2"/>
      <c r="D82" s="6">
        <v>6818.0</v>
      </c>
      <c r="E82" s="5" t="s">
        <v>6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5" t="s">
        <v>169</v>
      </c>
      <c r="B83" s="2" t="s">
        <v>170</v>
      </c>
      <c r="C83" s="2"/>
      <c r="D83" s="6">
        <v>8253.0</v>
      </c>
      <c r="E83" s="5" t="s">
        <v>6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5" t="s">
        <v>171</v>
      </c>
      <c r="B84" s="2" t="s">
        <v>172</v>
      </c>
      <c r="C84" s="2"/>
      <c r="D84" s="6">
        <v>4525.0</v>
      </c>
      <c r="E84" s="5" t="s">
        <v>10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5" t="s">
        <v>173</v>
      </c>
      <c r="B85" s="2" t="s">
        <v>174</v>
      </c>
      <c r="C85" s="2"/>
      <c r="D85" s="6">
        <v>8932.0</v>
      </c>
      <c r="E85" s="5" t="s">
        <v>6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5" t="s">
        <v>175</v>
      </c>
      <c r="B86" s="2" t="s">
        <v>176</v>
      </c>
      <c r="C86" s="2"/>
      <c r="D86" s="6">
        <v>6255.0</v>
      </c>
      <c r="E86" s="5" t="s">
        <v>6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5" t="s">
        <v>177</v>
      </c>
      <c r="B87" s="2" t="s">
        <v>178</v>
      </c>
      <c r="C87" s="2"/>
      <c r="D87" s="6">
        <v>4078.0</v>
      </c>
      <c r="E87" s="5" t="s">
        <v>13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5" t="s">
        <v>179</v>
      </c>
      <c r="B88" s="2" t="s">
        <v>180</v>
      </c>
      <c r="C88" s="2"/>
      <c r="D88" s="6">
        <v>5986.0</v>
      </c>
      <c r="E88" s="5" t="s">
        <v>10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5" t="s">
        <v>181</v>
      </c>
      <c r="B89" s="2" t="s">
        <v>182</v>
      </c>
      <c r="C89" s="2"/>
      <c r="D89" s="6">
        <v>2976.0</v>
      </c>
      <c r="E89" s="5" t="s">
        <v>6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5" t="s">
        <v>183</v>
      </c>
      <c r="B90" s="2" t="s">
        <v>184</v>
      </c>
      <c r="C90" s="2"/>
      <c r="D90" s="6">
        <v>5519.0</v>
      </c>
      <c r="E90" s="5" t="s">
        <v>10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5" t="s">
        <v>185</v>
      </c>
      <c r="B91" s="2" t="s">
        <v>186</v>
      </c>
      <c r="C91" s="2"/>
      <c r="D91" s="6">
        <v>2780.0</v>
      </c>
      <c r="E91" s="5" t="s">
        <v>13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5" t="s">
        <v>187</v>
      </c>
      <c r="B92" s="2" t="s">
        <v>188</v>
      </c>
      <c r="C92" s="2"/>
      <c r="D92" s="6">
        <v>559.0</v>
      </c>
      <c r="E92" s="5" t="s">
        <v>13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5" t="s">
        <v>189</v>
      </c>
      <c r="B93" s="2" t="s">
        <v>190</v>
      </c>
      <c r="C93" s="2"/>
      <c r="D93" s="6">
        <v>610.0</v>
      </c>
      <c r="E93" s="5" t="s">
        <v>13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5" t="s">
        <v>191</v>
      </c>
      <c r="B94" s="2" t="s">
        <v>192</v>
      </c>
      <c r="C94" s="2"/>
      <c r="D94" s="6">
        <v>9775.0</v>
      </c>
      <c r="E94" s="5" t="s">
        <v>13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5" t="s">
        <v>193</v>
      </c>
      <c r="B95" s="2" t="s">
        <v>194</v>
      </c>
      <c r="C95" s="2"/>
      <c r="D95" s="6">
        <v>9280.0</v>
      </c>
      <c r="E95" s="5" t="s">
        <v>6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5" t="s">
        <v>195</v>
      </c>
      <c r="B96" s="2" t="s">
        <v>196</v>
      </c>
      <c r="C96" s="2" t="s">
        <v>219</v>
      </c>
      <c r="D96" s="6">
        <v>2868.0</v>
      </c>
      <c r="E96" s="5" t="s">
        <v>6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5" t="s">
        <v>197</v>
      </c>
      <c r="B97" s="2" t="s">
        <v>198</v>
      </c>
      <c r="C97" s="2"/>
      <c r="D97" s="6">
        <v>1401.0</v>
      </c>
      <c r="E97" s="5" t="s">
        <v>13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5" t="s">
        <v>199</v>
      </c>
      <c r="B98" s="2" t="s">
        <v>200</v>
      </c>
      <c r="C98" s="2"/>
      <c r="D98" s="6">
        <v>4498.0</v>
      </c>
      <c r="E98" s="5" t="s">
        <v>10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5" t="s">
        <v>201</v>
      </c>
      <c r="B99" s="2" t="s">
        <v>202</v>
      </c>
      <c r="C99" s="2"/>
      <c r="D99" s="6">
        <v>5409.0</v>
      </c>
      <c r="E99" s="5" t="s">
        <v>6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5" t="s">
        <v>203</v>
      </c>
      <c r="B100" s="2" t="s">
        <v>204</v>
      </c>
      <c r="C100" s="2" t="s">
        <v>220</v>
      </c>
      <c r="D100" s="6">
        <v>1099.0</v>
      </c>
      <c r="E100" s="5" t="s">
        <v>10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5" t="s">
        <v>205</v>
      </c>
      <c r="B101" s="2" t="s">
        <v>206</v>
      </c>
      <c r="C101" s="2" t="s">
        <v>221</v>
      </c>
      <c r="D101" s="6">
        <v>765.0</v>
      </c>
      <c r="E101" s="5" t="s">
        <v>10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5"/>
      <c r="B102" s="2"/>
      <c r="C102" s="2"/>
      <c r="D102" s="10"/>
      <c r="E102" s="5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5"/>
      <c r="B103" s="2"/>
      <c r="C103" s="2"/>
      <c r="D103" s="10"/>
      <c r="E103" s="5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5"/>
      <c r="B104" s="2"/>
      <c r="C104" s="2"/>
      <c r="D104" s="10"/>
      <c r="E104" s="5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5"/>
      <c r="B105" s="2"/>
      <c r="C105" s="2"/>
      <c r="D105" s="10"/>
      <c r="E105" s="5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5"/>
      <c r="B106" s="2"/>
      <c r="C106" s="2"/>
      <c r="D106" s="10"/>
      <c r="E106" s="5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5"/>
      <c r="B107" s="2"/>
      <c r="C107" s="2"/>
      <c r="D107" s="10"/>
      <c r="E107" s="5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5"/>
      <c r="B108" s="2"/>
      <c r="C108" s="2"/>
      <c r="D108" s="10"/>
      <c r="E108" s="5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5"/>
      <c r="B109" s="2"/>
      <c r="C109" s="2"/>
      <c r="D109" s="10"/>
      <c r="E109" s="5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5"/>
      <c r="B110" s="2"/>
      <c r="C110" s="2"/>
      <c r="D110" s="10"/>
      <c r="E110" s="5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5"/>
      <c r="B111" s="2"/>
      <c r="C111" s="2"/>
      <c r="D111" s="10"/>
      <c r="E111" s="5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5"/>
      <c r="B112" s="2"/>
      <c r="C112" s="2"/>
      <c r="D112" s="10"/>
      <c r="E112" s="5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5"/>
      <c r="B113" s="2"/>
      <c r="C113" s="2"/>
      <c r="D113" s="10"/>
      <c r="E113" s="5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5"/>
      <c r="B114" s="2"/>
      <c r="C114" s="2"/>
      <c r="D114" s="10"/>
      <c r="E114" s="5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5"/>
      <c r="B115" s="2"/>
      <c r="C115" s="2"/>
      <c r="D115" s="10"/>
      <c r="E115" s="5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5"/>
      <c r="B116" s="2"/>
      <c r="C116" s="2"/>
      <c r="D116" s="10"/>
      <c r="E116" s="5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5"/>
      <c r="B117" s="2"/>
      <c r="C117" s="2"/>
      <c r="D117" s="10"/>
      <c r="E117" s="5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5"/>
      <c r="B118" s="2"/>
      <c r="C118" s="2"/>
      <c r="D118" s="10"/>
      <c r="E118" s="5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5"/>
      <c r="B119" s="2"/>
      <c r="C119" s="2"/>
      <c r="D119" s="10"/>
      <c r="E119" s="5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5"/>
      <c r="B120" s="2"/>
      <c r="C120" s="2"/>
      <c r="D120" s="10"/>
      <c r="E120" s="5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5"/>
      <c r="B121" s="2"/>
      <c r="C121" s="2"/>
      <c r="D121" s="10"/>
      <c r="E121" s="5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5"/>
      <c r="B122" s="2"/>
      <c r="C122" s="2"/>
      <c r="D122" s="10"/>
      <c r="E122" s="5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5"/>
      <c r="B123" s="2"/>
      <c r="C123" s="2"/>
      <c r="D123" s="10"/>
      <c r="E123" s="5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5"/>
      <c r="B124" s="2"/>
      <c r="C124" s="2"/>
      <c r="D124" s="10"/>
      <c r="E124" s="5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5"/>
      <c r="B125" s="2"/>
      <c r="C125" s="2"/>
      <c r="D125" s="10"/>
      <c r="E125" s="5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5"/>
      <c r="B126" s="2"/>
      <c r="C126" s="2"/>
      <c r="D126" s="10"/>
      <c r="E126" s="5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5"/>
      <c r="B127" s="2"/>
      <c r="C127" s="2"/>
      <c r="D127" s="10"/>
      <c r="E127" s="5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5"/>
      <c r="B128" s="2"/>
      <c r="C128" s="2"/>
      <c r="D128" s="10"/>
      <c r="E128" s="5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5"/>
      <c r="B129" s="2"/>
      <c r="C129" s="2"/>
      <c r="D129" s="10"/>
      <c r="E129" s="5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5"/>
      <c r="B130" s="2"/>
      <c r="C130" s="2"/>
      <c r="D130" s="10"/>
      <c r="E130" s="5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5"/>
      <c r="B131" s="2"/>
      <c r="C131" s="2"/>
      <c r="D131" s="10"/>
      <c r="E131" s="5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5"/>
      <c r="B132" s="2"/>
      <c r="C132" s="2"/>
      <c r="D132" s="10"/>
      <c r="E132" s="5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5"/>
      <c r="B133" s="2"/>
      <c r="C133" s="2"/>
      <c r="D133" s="10"/>
      <c r="E133" s="5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5"/>
      <c r="B134" s="2"/>
      <c r="C134" s="2"/>
      <c r="D134" s="10"/>
      <c r="E134" s="5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5"/>
      <c r="B135" s="2"/>
      <c r="C135" s="2"/>
      <c r="D135" s="10"/>
      <c r="E135" s="5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5"/>
      <c r="B136" s="2"/>
      <c r="C136" s="2"/>
      <c r="D136" s="10"/>
      <c r="E136" s="5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5"/>
      <c r="B137" s="2"/>
      <c r="C137" s="2"/>
      <c r="D137" s="10"/>
      <c r="E137" s="5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5"/>
      <c r="B138" s="2"/>
      <c r="C138" s="2"/>
      <c r="D138" s="10"/>
      <c r="E138" s="5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5"/>
      <c r="B139" s="2"/>
      <c r="C139" s="2"/>
      <c r="D139" s="10"/>
      <c r="E139" s="5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5"/>
      <c r="B140" s="2"/>
      <c r="C140" s="2"/>
      <c r="D140" s="10"/>
      <c r="E140" s="5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5"/>
      <c r="B141" s="2"/>
      <c r="C141" s="2"/>
      <c r="D141" s="10"/>
      <c r="E141" s="5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5"/>
      <c r="B142" s="2"/>
      <c r="C142" s="2"/>
      <c r="D142" s="10"/>
      <c r="E142" s="5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5"/>
      <c r="B143" s="2"/>
      <c r="C143" s="2"/>
      <c r="D143" s="10"/>
      <c r="E143" s="5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5"/>
      <c r="B144" s="2"/>
      <c r="C144" s="2"/>
      <c r="D144" s="10"/>
      <c r="E144" s="5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5"/>
      <c r="B145" s="2"/>
      <c r="C145" s="2"/>
      <c r="D145" s="10"/>
      <c r="E145" s="5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5"/>
      <c r="B146" s="2"/>
      <c r="C146" s="2"/>
      <c r="D146" s="10"/>
      <c r="E146" s="5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5"/>
      <c r="B147" s="2"/>
      <c r="C147" s="2"/>
      <c r="D147" s="10"/>
      <c r="E147" s="5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5"/>
      <c r="B148" s="2"/>
      <c r="C148" s="2"/>
      <c r="D148" s="10"/>
      <c r="E148" s="5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5"/>
      <c r="B149" s="2"/>
      <c r="C149" s="2"/>
      <c r="D149" s="10"/>
      <c r="E149" s="5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5"/>
      <c r="B150" s="2"/>
      <c r="C150" s="2"/>
      <c r="D150" s="10"/>
      <c r="E150" s="5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5"/>
      <c r="B151" s="2"/>
      <c r="C151" s="2"/>
      <c r="D151" s="10"/>
      <c r="E151" s="5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5"/>
      <c r="B152" s="2"/>
      <c r="C152" s="2"/>
      <c r="D152" s="10"/>
      <c r="E152" s="5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5"/>
      <c r="B153" s="2"/>
      <c r="C153" s="2"/>
      <c r="D153" s="10"/>
      <c r="E153" s="5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5"/>
      <c r="B154" s="2"/>
      <c r="C154" s="2"/>
      <c r="D154" s="10"/>
      <c r="E154" s="5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5"/>
      <c r="B155" s="2"/>
      <c r="C155" s="2"/>
      <c r="D155" s="10"/>
      <c r="E155" s="5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5"/>
      <c r="B156" s="2"/>
      <c r="C156" s="2"/>
      <c r="D156" s="10"/>
      <c r="E156" s="5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5"/>
      <c r="B157" s="2"/>
      <c r="C157" s="2"/>
      <c r="D157" s="10"/>
      <c r="E157" s="5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5"/>
      <c r="B158" s="2"/>
      <c r="C158" s="2"/>
      <c r="D158" s="10"/>
      <c r="E158" s="5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5"/>
      <c r="B159" s="2"/>
      <c r="C159" s="2"/>
      <c r="D159" s="10"/>
      <c r="E159" s="5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5"/>
      <c r="B160" s="2"/>
      <c r="C160" s="2"/>
      <c r="D160" s="10"/>
      <c r="E160" s="5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5"/>
      <c r="B161" s="2"/>
      <c r="C161" s="2"/>
      <c r="D161" s="10"/>
      <c r="E161" s="5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5"/>
      <c r="B162" s="2"/>
      <c r="C162" s="2"/>
      <c r="D162" s="10"/>
      <c r="E162" s="5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5"/>
      <c r="B163" s="2"/>
      <c r="C163" s="2"/>
      <c r="D163" s="10"/>
      <c r="E163" s="5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5"/>
      <c r="B164" s="2"/>
      <c r="C164" s="2"/>
      <c r="D164" s="10"/>
      <c r="E164" s="5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5"/>
      <c r="B165" s="2"/>
      <c r="C165" s="2"/>
      <c r="D165" s="10"/>
      <c r="E165" s="5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5"/>
      <c r="B166" s="2"/>
      <c r="C166" s="2"/>
      <c r="D166" s="10"/>
      <c r="E166" s="5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5"/>
      <c r="B167" s="2"/>
      <c r="C167" s="2"/>
      <c r="D167" s="10"/>
      <c r="E167" s="5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5"/>
      <c r="B168" s="2"/>
      <c r="C168" s="2"/>
      <c r="D168" s="10"/>
      <c r="E168" s="5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5"/>
      <c r="B169" s="2"/>
      <c r="C169" s="2"/>
      <c r="D169" s="10"/>
      <c r="E169" s="5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5"/>
      <c r="B170" s="2"/>
      <c r="C170" s="2"/>
      <c r="D170" s="10"/>
      <c r="E170" s="5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5"/>
      <c r="B171" s="2"/>
      <c r="C171" s="2"/>
      <c r="D171" s="10"/>
      <c r="E171" s="5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5"/>
      <c r="B172" s="2"/>
      <c r="C172" s="2"/>
      <c r="D172" s="10"/>
      <c r="E172" s="5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5"/>
      <c r="B173" s="2"/>
      <c r="C173" s="2"/>
      <c r="D173" s="10"/>
      <c r="E173" s="5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5"/>
      <c r="B174" s="2"/>
      <c r="C174" s="2"/>
      <c r="D174" s="10"/>
      <c r="E174" s="5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5"/>
      <c r="B175" s="2"/>
      <c r="C175" s="2"/>
      <c r="D175" s="10"/>
      <c r="E175" s="5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5"/>
      <c r="B176" s="2"/>
      <c r="C176" s="2"/>
      <c r="D176" s="10"/>
      <c r="E176" s="5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5"/>
      <c r="B177" s="2"/>
      <c r="C177" s="2"/>
      <c r="D177" s="10"/>
      <c r="E177" s="5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5"/>
      <c r="B178" s="2"/>
      <c r="C178" s="2"/>
      <c r="D178" s="10"/>
      <c r="E178" s="5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5"/>
      <c r="B179" s="2"/>
      <c r="C179" s="2"/>
      <c r="D179" s="10"/>
      <c r="E179" s="5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5"/>
      <c r="B180" s="2"/>
      <c r="C180" s="2"/>
      <c r="D180" s="10"/>
      <c r="E180" s="5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5"/>
      <c r="B181" s="2"/>
      <c r="C181" s="2"/>
      <c r="D181" s="10"/>
      <c r="E181" s="5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5"/>
      <c r="B182" s="2"/>
      <c r="C182" s="2"/>
      <c r="D182" s="10"/>
      <c r="E182" s="5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5"/>
      <c r="B183" s="2"/>
      <c r="C183" s="2"/>
      <c r="D183" s="10"/>
      <c r="E183" s="5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5"/>
      <c r="B184" s="2"/>
      <c r="C184" s="2"/>
      <c r="D184" s="10"/>
      <c r="E184" s="5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5"/>
      <c r="B185" s="2"/>
      <c r="C185" s="2"/>
      <c r="D185" s="10"/>
      <c r="E185" s="5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5"/>
      <c r="B186" s="2"/>
      <c r="C186" s="2"/>
      <c r="D186" s="10"/>
      <c r="E186" s="5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5"/>
      <c r="B187" s="2"/>
      <c r="C187" s="2"/>
      <c r="D187" s="10"/>
      <c r="E187" s="5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5"/>
      <c r="B188" s="2"/>
      <c r="C188" s="2"/>
      <c r="D188" s="10"/>
      <c r="E188" s="5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5"/>
      <c r="B189" s="2"/>
      <c r="C189" s="2"/>
      <c r="D189" s="10"/>
      <c r="E189" s="5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5"/>
      <c r="B190" s="2"/>
      <c r="C190" s="2"/>
      <c r="D190" s="10"/>
      <c r="E190" s="5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5"/>
      <c r="B191" s="2"/>
      <c r="C191" s="2"/>
      <c r="D191" s="10"/>
      <c r="E191" s="5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5"/>
      <c r="B192" s="2"/>
      <c r="C192" s="2"/>
      <c r="D192" s="10"/>
      <c r="E192" s="5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5"/>
      <c r="B193" s="2"/>
      <c r="C193" s="2"/>
      <c r="D193" s="10"/>
      <c r="E193" s="5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5"/>
      <c r="B194" s="2"/>
      <c r="C194" s="2"/>
      <c r="D194" s="10"/>
      <c r="E194" s="5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5"/>
      <c r="B195" s="2"/>
      <c r="C195" s="2"/>
      <c r="D195" s="10"/>
      <c r="E195" s="5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5"/>
      <c r="B196" s="2"/>
      <c r="C196" s="2"/>
      <c r="D196" s="10"/>
      <c r="E196" s="5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5"/>
      <c r="B197" s="2"/>
      <c r="C197" s="2"/>
      <c r="D197" s="10"/>
      <c r="E197" s="5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5"/>
      <c r="B198" s="2"/>
      <c r="C198" s="2"/>
      <c r="D198" s="10"/>
      <c r="E198" s="5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5"/>
      <c r="B199" s="2"/>
      <c r="C199" s="2"/>
      <c r="D199" s="10"/>
      <c r="E199" s="5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5"/>
      <c r="B200" s="2"/>
      <c r="C200" s="2"/>
      <c r="D200" s="10"/>
      <c r="E200" s="5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5"/>
      <c r="B201" s="2"/>
      <c r="C201" s="2"/>
      <c r="D201" s="10"/>
      <c r="E201" s="5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5"/>
      <c r="B202" s="2"/>
      <c r="C202" s="2"/>
      <c r="D202" s="10"/>
      <c r="E202" s="5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5"/>
      <c r="B203" s="2"/>
      <c r="C203" s="2"/>
      <c r="D203" s="10"/>
      <c r="E203" s="5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5"/>
      <c r="B204" s="2"/>
      <c r="C204" s="2"/>
      <c r="D204" s="10"/>
      <c r="E204" s="5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5"/>
      <c r="B205" s="2"/>
      <c r="C205" s="2"/>
      <c r="D205" s="10"/>
      <c r="E205" s="5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5"/>
      <c r="B206" s="2"/>
      <c r="C206" s="2"/>
      <c r="D206" s="10"/>
      <c r="E206" s="5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5"/>
      <c r="B207" s="2"/>
      <c r="C207" s="2"/>
      <c r="D207" s="10"/>
      <c r="E207" s="5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5"/>
      <c r="B208" s="2"/>
      <c r="C208" s="2"/>
      <c r="D208" s="10"/>
      <c r="E208" s="5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5"/>
      <c r="B209" s="2"/>
      <c r="C209" s="2"/>
      <c r="D209" s="10"/>
      <c r="E209" s="5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5"/>
      <c r="B210" s="2"/>
      <c r="C210" s="2"/>
      <c r="D210" s="10"/>
      <c r="E210" s="5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5"/>
      <c r="B211" s="2"/>
      <c r="C211" s="2"/>
      <c r="D211" s="10"/>
      <c r="E211" s="5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5"/>
      <c r="B212" s="2"/>
      <c r="C212" s="2"/>
      <c r="D212" s="10"/>
      <c r="E212" s="5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5"/>
      <c r="B213" s="2"/>
      <c r="C213" s="2"/>
      <c r="D213" s="10"/>
      <c r="E213" s="5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5"/>
      <c r="B214" s="2"/>
      <c r="C214" s="2"/>
      <c r="D214" s="10"/>
      <c r="E214" s="5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5"/>
      <c r="B215" s="2"/>
      <c r="C215" s="2"/>
      <c r="D215" s="10"/>
      <c r="E215" s="5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5"/>
      <c r="B216" s="2"/>
      <c r="C216" s="2"/>
      <c r="D216" s="10"/>
      <c r="E216" s="5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5"/>
      <c r="B217" s="2"/>
      <c r="C217" s="2"/>
      <c r="D217" s="10"/>
      <c r="E217" s="5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5"/>
      <c r="B218" s="2"/>
      <c r="C218" s="2"/>
      <c r="D218" s="10"/>
      <c r="E218" s="5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5"/>
      <c r="B219" s="2"/>
      <c r="C219" s="2"/>
      <c r="D219" s="10"/>
      <c r="E219" s="5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5"/>
      <c r="B220" s="2"/>
      <c r="C220" s="2"/>
      <c r="D220" s="10"/>
      <c r="E220" s="5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5"/>
      <c r="B221" s="2"/>
      <c r="C221" s="2"/>
      <c r="D221" s="10"/>
      <c r="E221" s="5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5"/>
      <c r="B222" s="2"/>
      <c r="C222" s="2"/>
      <c r="D222" s="10"/>
      <c r="E222" s="5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5"/>
      <c r="B223" s="2"/>
      <c r="C223" s="2"/>
      <c r="D223" s="10"/>
      <c r="E223" s="5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5"/>
      <c r="B224" s="2"/>
      <c r="C224" s="2"/>
      <c r="D224" s="10"/>
      <c r="E224" s="5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5"/>
      <c r="B225" s="2"/>
      <c r="C225" s="2"/>
      <c r="D225" s="10"/>
      <c r="E225" s="5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5"/>
      <c r="B226" s="2"/>
      <c r="C226" s="2"/>
      <c r="D226" s="10"/>
      <c r="E226" s="5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5"/>
      <c r="B227" s="2"/>
      <c r="C227" s="2"/>
      <c r="D227" s="10"/>
      <c r="E227" s="5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5"/>
      <c r="B228" s="2"/>
      <c r="C228" s="2"/>
      <c r="D228" s="10"/>
      <c r="E228" s="5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5"/>
      <c r="B229" s="2"/>
      <c r="C229" s="2"/>
      <c r="D229" s="10"/>
      <c r="E229" s="5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5"/>
      <c r="B230" s="2"/>
      <c r="C230" s="2"/>
      <c r="D230" s="10"/>
      <c r="E230" s="5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5"/>
      <c r="B231" s="2"/>
      <c r="C231" s="2"/>
      <c r="D231" s="10"/>
      <c r="E231" s="5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5"/>
      <c r="B232" s="2"/>
      <c r="C232" s="2"/>
      <c r="D232" s="10"/>
      <c r="E232" s="5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5"/>
      <c r="B233" s="2"/>
      <c r="C233" s="2"/>
      <c r="D233" s="10"/>
      <c r="E233" s="5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5"/>
      <c r="B234" s="2"/>
      <c r="C234" s="2"/>
      <c r="D234" s="10"/>
      <c r="E234" s="5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5"/>
      <c r="B235" s="2"/>
      <c r="C235" s="2"/>
      <c r="D235" s="10"/>
      <c r="E235" s="5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5"/>
      <c r="B236" s="2"/>
      <c r="C236" s="2"/>
      <c r="D236" s="10"/>
      <c r="E236" s="5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5"/>
      <c r="B237" s="2"/>
      <c r="C237" s="2"/>
      <c r="D237" s="10"/>
      <c r="E237" s="5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5"/>
      <c r="B238" s="2"/>
      <c r="C238" s="2"/>
      <c r="D238" s="10"/>
      <c r="E238" s="5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5"/>
      <c r="B239" s="2"/>
      <c r="C239" s="2"/>
      <c r="D239" s="10"/>
      <c r="E239" s="5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5"/>
      <c r="B240" s="2"/>
      <c r="C240" s="2"/>
      <c r="D240" s="10"/>
      <c r="E240" s="5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5"/>
      <c r="B241" s="2"/>
      <c r="C241" s="2"/>
      <c r="D241" s="10"/>
      <c r="E241" s="5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5"/>
      <c r="B242" s="2"/>
      <c r="C242" s="2"/>
      <c r="D242" s="10"/>
      <c r="E242" s="5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5"/>
      <c r="B243" s="2"/>
      <c r="C243" s="2"/>
      <c r="D243" s="10"/>
      <c r="E243" s="5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5"/>
      <c r="B244" s="2"/>
      <c r="C244" s="2"/>
      <c r="D244" s="10"/>
      <c r="E244" s="5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5"/>
      <c r="B245" s="2"/>
      <c r="C245" s="2"/>
      <c r="D245" s="10"/>
      <c r="E245" s="5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5"/>
      <c r="B246" s="2"/>
      <c r="C246" s="2"/>
      <c r="D246" s="10"/>
      <c r="E246" s="5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5"/>
      <c r="B247" s="2"/>
      <c r="C247" s="2"/>
      <c r="D247" s="10"/>
      <c r="E247" s="5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5"/>
      <c r="B248" s="2"/>
      <c r="C248" s="2"/>
      <c r="D248" s="10"/>
      <c r="E248" s="5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5"/>
      <c r="B249" s="2"/>
      <c r="C249" s="2"/>
      <c r="D249" s="10"/>
      <c r="E249" s="5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5"/>
      <c r="B250" s="2"/>
      <c r="C250" s="2"/>
      <c r="D250" s="10"/>
      <c r="E250" s="5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5"/>
      <c r="B251" s="2"/>
      <c r="C251" s="2"/>
      <c r="D251" s="10"/>
      <c r="E251" s="5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5"/>
      <c r="B252" s="2"/>
      <c r="C252" s="2"/>
      <c r="D252" s="10"/>
      <c r="E252" s="5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5"/>
      <c r="B253" s="2"/>
      <c r="C253" s="2"/>
      <c r="D253" s="10"/>
      <c r="E253" s="5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5"/>
      <c r="B254" s="2"/>
      <c r="C254" s="2"/>
      <c r="D254" s="10"/>
      <c r="E254" s="5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5"/>
      <c r="B255" s="2"/>
      <c r="C255" s="2"/>
      <c r="D255" s="10"/>
      <c r="E255" s="5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5"/>
      <c r="B256" s="2"/>
      <c r="C256" s="2"/>
      <c r="D256" s="10"/>
      <c r="E256" s="5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5"/>
      <c r="B257" s="2"/>
      <c r="C257" s="2"/>
      <c r="D257" s="10"/>
      <c r="E257" s="5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5"/>
      <c r="B258" s="2"/>
      <c r="C258" s="2"/>
      <c r="D258" s="10"/>
      <c r="E258" s="5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5"/>
      <c r="B259" s="2"/>
      <c r="C259" s="2"/>
      <c r="D259" s="10"/>
      <c r="E259" s="5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5"/>
      <c r="B260" s="2"/>
      <c r="C260" s="2"/>
      <c r="D260" s="10"/>
      <c r="E260" s="5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5"/>
      <c r="B261" s="5"/>
      <c r="C261" s="5"/>
      <c r="D261" s="10"/>
      <c r="E261" s="5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5"/>
      <c r="B262" s="5"/>
      <c r="C262" s="5"/>
      <c r="D262" s="10"/>
      <c r="E262" s="5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5"/>
      <c r="B263" s="5"/>
      <c r="C263" s="5"/>
      <c r="D263" s="10"/>
      <c r="E263" s="5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5"/>
      <c r="B264" s="5"/>
      <c r="C264" s="5"/>
      <c r="D264" s="10"/>
      <c r="E264" s="5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5"/>
      <c r="B265" s="5"/>
      <c r="C265" s="5"/>
      <c r="D265" s="10"/>
      <c r="E265" s="5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5"/>
      <c r="B266" s="5"/>
      <c r="C266" s="5"/>
      <c r="D266" s="10"/>
      <c r="E266" s="5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5"/>
      <c r="B267" s="5"/>
      <c r="C267" s="5"/>
      <c r="D267" s="10"/>
      <c r="E267" s="5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5"/>
      <c r="B268" s="5"/>
      <c r="C268" s="5"/>
      <c r="D268" s="10"/>
      <c r="E268" s="5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5"/>
      <c r="B269" s="5"/>
      <c r="C269" s="5"/>
      <c r="D269" s="10"/>
      <c r="E269" s="5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5"/>
      <c r="B270" s="5"/>
      <c r="C270" s="5"/>
      <c r="D270" s="10"/>
      <c r="E270" s="5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5"/>
      <c r="B271" s="5"/>
      <c r="C271" s="5"/>
      <c r="D271" s="10"/>
      <c r="E271" s="5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5"/>
      <c r="B272" s="5"/>
      <c r="C272" s="5"/>
      <c r="D272" s="10"/>
      <c r="E272" s="5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5"/>
      <c r="B273" s="5"/>
      <c r="C273" s="5"/>
      <c r="D273" s="10"/>
      <c r="E273" s="5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5"/>
      <c r="B274" s="5"/>
      <c r="C274" s="5"/>
      <c r="D274" s="10"/>
      <c r="E274" s="5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5"/>
      <c r="B275" s="5"/>
      <c r="C275" s="5"/>
      <c r="D275" s="10"/>
      <c r="E275" s="5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5"/>
      <c r="B276" s="5"/>
      <c r="C276" s="5"/>
      <c r="D276" s="10"/>
      <c r="E276" s="5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5"/>
      <c r="B277" s="5"/>
      <c r="C277" s="5"/>
      <c r="D277" s="10"/>
      <c r="E277" s="5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5"/>
      <c r="B278" s="5"/>
      <c r="C278" s="5"/>
      <c r="D278" s="10"/>
      <c r="E278" s="5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5"/>
      <c r="B279" s="5"/>
      <c r="C279" s="5"/>
      <c r="D279" s="10"/>
      <c r="E279" s="5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5"/>
      <c r="B280" s="5"/>
      <c r="C280" s="5"/>
      <c r="D280" s="10"/>
      <c r="E280" s="5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5"/>
      <c r="B281" s="5"/>
      <c r="C281" s="5"/>
      <c r="D281" s="10"/>
      <c r="E281" s="5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5"/>
      <c r="B282" s="5"/>
      <c r="C282" s="5"/>
      <c r="D282" s="10"/>
      <c r="E282" s="5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5"/>
      <c r="B283" s="5"/>
      <c r="C283" s="5"/>
      <c r="D283" s="10"/>
      <c r="E283" s="5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5"/>
      <c r="B284" s="5"/>
      <c r="C284" s="5"/>
      <c r="D284" s="10"/>
      <c r="E284" s="5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5"/>
      <c r="B285" s="5"/>
      <c r="C285" s="5"/>
      <c r="D285" s="10"/>
      <c r="E285" s="5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5"/>
      <c r="B286" s="5"/>
      <c r="C286" s="5"/>
      <c r="D286" s="10"/>
      <c r="E286" s="5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5"/>
      <c r="B287" s="5"/>
      <c r="C287" s="5"/>
      <c r="D287" s="10"/>
      <c r="E287" s="5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5"/>
      <c r="B288" s="5"/>
      <c r="C288" s="5"/>
      <c r="D288" s="10"/>
      <c r="E288" s="5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5"/>
      <c r="B289" s="5"/>
      <c r="C289" s="5"/>
      <c r="D289" s="10"/>
      <c r="E289" s="5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5"/>
      <c r="B290" s="5"/>
      <c r="C290" s="5"/>
      <c r="D290" s="10"/>
      <c r="E290" s="5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5"/>
      <c r="B291" s="5"/>
      <c r="C291" s="5"/>
      <c r="D291" s="10"/>
      <c r="E291" s="5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5"/>
      <c r="B292" s="5"/>
      <c r="C292" s="5"/>
      <c r="D292" s="10"/>
      <c r="E292" s="5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5"/>
      <c r="B293" s="5"/>
      <c r="C293" s="5"/>
      <c r="D293" s="10"/>
      <c r="E293" s="5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5"/>
      <c r="B294" s="5"/>
      <c r="C294" s="5"/>
      <c r="D294" s="10"/>
      <c r="E294" s="5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5"/>
      <c r="B295" s="5"/>
      <c r="C295" s="5"/>
      <c r="D295" s="10"/>
      <c r="E295" s="5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5"/>
      <c r="B296" s="5"/>
      <c r="C296" s="5"/>
      <c r="D296" s="10"/>
      <c r="E296" s="5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5"/>
      <c r="B297" s="5"/>
      <c r="C297" s="5"/>
      <c r="D297" s="10"/>
      <c r="E297" s="5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5"/>
      <c r="B298" s="5"/>
      <c r="C298" s="5"/>
      <c r="D298" s="10"/>
      <c r="E298" s="5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5"/>
      <c r="B299" s="5"/>
      <c r="C299" s="5"/>
      <c r="D299" s="10"/>
      <c r="E299" s="5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5"/>
      <c r="B300" s="5"/>
      <c r="C300" s="5"/>
      <c r="D300" s="10"/>
      <c r="E300" s="5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5"/>
      <c r="B301" s="5"/>
      <c r="C301" s="5"/>
      <c r="D301" s="10"/>
      <c r="E301" s="5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5"/>
      <c r="B302" s="5"/>
      <c r="C302" s="5"/>
      <c r="D302" s="5"/>
      <c r="E302" s="5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5"/>
      <c r="B303" s="5"/>
      <c r="C303" s="5"/>
      <c r="D303" s="5"/>
      <c r="E303" s="5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5"/>
      <c r="B304" s="5"/>
      <c r="C304" s="5"/>
      <c r="D304" s="5"/>
      <c r="E304" s="5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5"/>
      <c r="B305" s="5"/>
      <c r="C305" s="5"/>
      <c r="D305" s="5"/>
      <c r="E305" s="5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5"/>
      <c r="B306" s="5"/>
      <c r="C306" s="5"/>
      <c r="D306" s="5"/>
      <c r="E306" s="5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5"/>
      <c r="B307" s="5"/>
      <c r="C307" s="5"/>
      <c r="D307" s="5"/>
      <c r="E307" s="5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5"/>
      <c r="B308" s="5"/>
      <c r="C308" s="5"/>
      <c r="D308" s="5"/>
      <c r="E308" s="5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5"/>
      <c r="B309" s="5"/>
      <c r="C309" s="5"/>
      <c r="D309" s="5"/>
      <c r="E309" s="5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5"/>
      <c r="B310" s="5"/>
      <c r="C310" s="5"/>
      <c r="D310" s="5"/>
      <c r="E310" s="5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5"/>
      <c r="B311" s="5"/>
      <c r="C311" s="5"/>
      <c r="D311" s="5"/>
      <c r="E311" s="5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5"/>
      <c r="B312" s="5"/>
      <c r="C312" s="5"/>
      <c r="D312" s="5"/>
      <c r="E312" s="5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5"/>
      <c r="B313" s="5"/>
      <c r="C313" s="5"/>
      <c r="D313" s="5"/>
      <c r="E313" s="5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5"/>
      <c r="B314" s="5"/>
      <c r="C314" s="5"/>
      <c r="D314" s="5"/>
      <c r="E314" s="5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5"/>
      <c r="B315" s="5"/>
      <c r="C315" s="5"/>
      <c r="D315" s="5"/>
      <c r="E315" s="5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5"/>
      <c r="B316" s="5"/>
      <c r="C316" s="5"/>
      <c r="D316" s="5"/>
      <c r="E316" s="5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5"/>
      <c r="B317" s="5"/>
      <c r="C317" s="5"/>
      <c r="D317" s="5"/>
      <c r="E317" s="5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5"/>
      <c r="B318" s="5"/>
      <c r="C318" s="5"/>
      <c r="D318" s="5"/>
      <c r="E318" s="5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5"/>
      <c r="B319" s="5"/>
      <c r="C319" s="5"/>
      <c r="D319" s="5"/>
      <c r="E319" s="5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5"/>
      <c r="B320" s="5"/>
      <c r="C320" s="5"/>
      <c r="D320" s="5"/>
      <c r="E320" s="5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5"/>
      <c r="B321" s="5"/>
      <c r="C321" s="5"/>
      <c r="D321" s="5"/>
      <c r="E321" s="5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5"/>
      <c r="B322" s="5"/>
      <c r="C322" s="5"/>
      <c r="D322" s="5"/>
      <c r="E322" s="5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5"/>
      <c r="B323" s="5"/>
      <c r="C323" s="5"/>
      <c r="D323" s="5"/>
      <c r="E323" s="5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5"/>
      <c r="B324" s="5"/>
      <c r="C324" s="5"/>
      <c r="D324" s="5"/>
      <c r="E324" s="5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5"/>
      <c r="B325" s="5"/>
      <c r="C325" s="5"/>
      <c r="D325" s="5"/>
      <c r="E325" s="5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5"/>
      <c r="B326" s="5"/>
      <c r="C326" s="5"/>
      <c r="D326" s="5"/>
      <c r="E326" s="5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5"/>
      <c r="B327" s="5"/>
      <c r="C327" s="5"/>
      <c r="D327" s="5"/>
      <c r="E327" s="5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5"/>
      <c r="B328" s="5"/>
      <c r="C328" s="5"/>
      <c r="D328" s="5"/>
      <c r="E328" s="5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5"/>
      <c r="B329" s="5"/>
      <c r="C329" s="5"/>
      <c r="D329" s="5"/>
      <c r="E329" s="5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5"/>
      <c r="B330" s="5"/>
      <c r="C330" s="5"/>
      <c r="D330" s="5"/>
      <c r="E330" s="5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5"/>
      <c r="B331" s="5"/>
      <c r="C331" s="5"/>
      <c r="D331" s="5"/>
      <c r="E331" s="5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5"/>
      <c r="B332" s="5"/>
      <c r="C332" s="5"/>
      <c r="D332" s="5"/>
      <c r="E332" s="5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5"/>
      <c r="B333" s="5"/>
      <c r="C333" s="5"/>
      <c r="D333" s="5"/>
      <c r="E333" s="5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5"/>
      <c r="B334" s="5"/>
      <c r="C334" s="5"/>
      <c r="D334" s="5"/>
      <c r="E334" s="5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5"/>
      <c r="B335" s="5"/>
      <c r="C335" s="5"/>
      <c r="D335" s="5"/>
      <c r="E335" s="5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5"/>
      <c r="B336" s="5"/>
      <c r="C336" s="5"/>
      <c r="D336" s="5"/>
      <c r="E336" s="5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5"/>
      <c r="B337" s="5"/>
      <c r="C337" s="5"/>
      <c r="D337" s="5"/>
      <c r="E337" s="5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5"/>
      <c r="B338" s="5"/>
      <c r="C338" s="5"/>
      <c r="D338" s="5"/>
      <c r="E338" s="5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5"/>
      <c r="B339" s="5"/>
      <c r="C339" s="5"/>
      <c r="D339" s="5"/>
      <c r="E339" s="5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5"/>
      <c r="B340" s="5"/>
      <c r="C340" s="5"/>
      <c r="D340" s="5"/>
      <c r="E340" s="5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5"/>
      <c r="B341" s="5"/>
      <c r="C341" s="5"/>
      <c r="D341" s="5"/>
      <c r="E341" s="5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5"/>
      <c r="B342" s="5"/>
      <c r="C342" s="5"/>
      <c r="D342" s="5"/>
      <c r="E342" s="5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5"/>
      <c r="B343" s="5"/>
      <c r="C343" s="5"/>
      <c r="D343" s="5"/>
      <c r="E343" s="5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5"/>
      <c r="B344" s="5"/>
      <c r="C344" s="5"/>
      <c r="D344" s="5"/>
      <c r="E344" s="5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5"/>
      <c r="B345" s="5"/>
      <c r="C345" s="5"/>
      <c r="D345" s="5"/>
      <c r="E345" s="5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5"/>
      <c r="B346" s="5"/>
      <c r="C346" s="5"/>
      <c r="D346" s="5"/>
      <c r="E346" s="5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5"/>
      <c r="B347" s="5"/>
      <c r="C347" s="5"/>
      <c r="D347" s="5"/>
      <c r="E347" s="5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5"/>
      <c r="B348" s="5"/>
      <c r="C348" s="5"/>
      <c r="D348" s="5"/>
      <c r="E348" s="5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5"/>
      <c r="B349" s="5"/>
      <c r="C349" s="5"/>
      <c r="D349" s="5"/>
      <c r="E349" s="5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5"/>
      <c r="B350" s="5"/>
      <c r="C350" s="5"/>
      <c r="D350" s="5"/>
      <c r="E350" s="5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5"/>
      <c r="B351" s="5"/>
      <c r="C351" s="5"/>
      <c r="D351" s="5"/>
      <c r="E351" s="5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5"/>
      <c r="B352" s="5"/>
      <c r="C352" s="5"/>
      <c r="D352" s="5"/>
      <c r="E352" s="5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5"/>
      <c r="B353" s="5"/>
      <c r="C353" s="5"/>
      <c r="D353" s="5"/>
      <c r="E353" s="5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5"/>
      <c r="B354" s="5"/>
      <c r="C354" s="5"/>
      <c r="D354" s="5"/>
      <c r="E354" s="5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5"/>
      <c r="B355" s="5"/>
      <c r="C355" s="5"/>
      <c r="D355" s="5"/>
      <c r="E355" s="5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5"/>
      <c r="B356" s="5"/>
      <c r="C356" s="5"/>
      <c r="D356" s="5"/>
      <c r="E356" s="5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5"/>
      <c r="B357" s="5"/>
      <c r="C357" s="5"/>
      <c r="D357" s="5"/>
      <c r="E357" s="5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5"/>
      <c r="B358" s="5"/>
      <c r="C358" s="5"/>
      <c r="D358" s="5"/>
      <c r="E358" s="5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5"/>
      <c r="B359" s="5"/>
      <c r="C359" s="5"/>
      <c r="D359" s="5"/>
      <c r="E359" s="5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5"/>
      <c r="B360" s="5"/>
      <c r="C360" s="5"/>
      <c r="D360" s="5"/>
      <c r="E360" s="5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5"/>
      <c r="B361" s="5"/>
      <c r="C361" s="5"/>
      <c r="D361" s="5"/>
      <c r="E361" s="5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5"/>
      <c r="B362" s="5"/>
      <c r="C362" s="5"/>
      <c r="D362" s="5"/>
      <c r="E362" s="5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5"/>
      <c r="B363" s="5"/>
      <c r="C363" s="5"/>
      <c r="D363" s="5"/>
      <c r="E363" s="5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5"/>
      <c r="B364" s="5"/>
      <c r="C364" s="5"/>
      <c r="D364" s="5"/>
      <c r="E364" s="5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5"/>
      <c r="B365" s="5"/>
      <c r="C365" s="5"/>
      <c r="D365" s="5"/>
      <c r="E365" s="5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5"/>
      <c r="B366" s="5"/>
      <c r="C366" s="5"/>
      <c r="D366" s="5"/>
      <c r="E366" s="5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5"/>
      <c r="B367" s="5"/>
      <c r="C367" s="5"/>
      <c r="D367" s="5"/>
      <c r="E367" s="5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5"/>
      <c r="B368" s="5"/>
      <c r="C368" s="5"/>
      <c r="D368" s="5"/>
      <c r="E368" s="5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5"/>
      <c r="B369" s="5"/>
      <c r="C369" s="5"/>
      <c r="D369" s="5"/>
      <c r="E369" s="5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5"/>
      <c r="B370" s="5"/>
      <c r="C370" s="5"/>
      <c r="D370" s="5"/>
      <c r="E370" s="5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5"/>
      <c r="B371" s="5"/>
      <c r="C371" s="5"/>
      <c r="D371" s="5"/>
      <c r="E371" s="5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5"/>
      <c r="B372" s="5"/>
      <c r="C372" s="5"/>
      <c r="D372" s="5"/>
      <c r="E372" s="5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5"/>
      <c r="B373" s="5"/>
      <c r="C373" s="5"/>
      <c r="D373" s="5"/>
      <c r="E373" s="5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5"/>
      <c r="B374" s="5"/>
      <c r="C374" s="5"/>
      <c r="D374" s="5"/>
      <c r="E374" s="5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5"/>
      <c r="B375" s="5"/>
      <c r="C375" s="5"/>
      <c r="D375" s="5"/>
      <c r="E375" s="5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5"/>
      <c r="B376" s="5"/>
      <c r="C376" s="5"/>
      <c r="D376" s="5"/>
      <c r="E376" s="5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5"/>
      <c r="B377" s="5"/>
      <c r="C377" s="5"/>
      <c r="D377" s="5"/>
      <c r="E377" s="5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5"/>
      <c r="B378" s="5"/>
      <c r="C378" s="5"/>
      <c r="D378" s="5"/>
      <c r="E378" s="5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5"/>
      <c r="B379" s="5"/>
      <c r="C379" s="5"/>
      <c r="D379" s="5"/>
      <c r="E379" s="5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5"/>
      <c r="B380" s="5"/>
      <c r="C380" s="5"/>
      <c r="D380" s="5"/>
      <c r="E380" s="5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5"/>
      <c r="B381" s="5"/>
      <c r="C381" s="5"/>
      <c r="D381" s="5"/>
      <c r="E381" s="5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5"/>
      <c r="B382" s="5"/>
      <c r="C382" s="5"/>
      <c r="D382" s="5"/>
      <c r="E382" s="5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5"/>
      <c r="B383" s="5"/>
      <c r="C383" s="5"/>
      <c r="D383" s="5"/>
      <c r="E383" s="5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5"/>
      <c r="B384" s="5"/>
      <c r="C384" s="5"/>
      <c r="D384" s="5"/>
      <c r="E384" s="5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5"/>
      <c r="B385" s="5"/>
      <c r="C385" s="5"/>
      <c r="D385" s="5"/>
      <c r="E385" s="5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5"/>
      <c r="B386" s="5"/>
      <c r="C386" s="5"/>
      <c r="D386" s="5"/>
      <c r="E386" s="5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5"/>
      <c r="B387" s="5"/>
      <c r="C387" s="5"/>
      <c r="D387" s="5"/>
      <c r="E387" s="5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5"/>
      <c r="B388" s="5"/>
      <c r="C388" s="5"/>
      <c r="D388" s="5"/>
      <c r="E388" s="5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5"/>
      <c r="B389" s="5"/>
      <c r="C389" s="5"/>
      <c r="D389" s="5"/>
      <c r="E389" s="5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5"/>
      <c r="B390" s="5"/>
      <c r="C390" s="5"/>
      <c r="D390" s="5"/>
      <c r="E390" s="5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5"/>
      <c r="B391" s="5"/>
      <c r="C391" s="5"/>
      <c r="D391" s="5"/>
      <c r="E391" s="5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5"/>
      <c r="B392" s="5"/>
      <c r="C392" s="5"/>
      <c r="D392" s="5"/>
      <c r="E392" s="5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5"/>
      <c r="B393" s="5"/>
      <c r="C393" s="5"/>
      <c r="D393" s="5"/>
      <c r="E393" s="5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5"/>
      <c r="B394" s="5"/>
      <c r="C394" s="5"/>
      <c r="D394" s="5"/>
      <c r="E394" s="5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5"/>
      <c r="B395" s="5"/>
      <c r="C395" s="5"/>
      <c r="D395" s="5"/>
      <c r="E395" s="5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5"/>
      <c r="B396" s="5"/>
      <c r="C396" s="5"/>
      <c r="D396" s="5"/>
      <c r="E396" s="5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5"/>
      <c r="B397" s="5"/>
      <c r="C397" s="5"/>
      <c r="D397" s="5"/>
      <c r="E397" s="5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5"/>
      <c r="B398" s="5"/>
      <c r="C398" s="5"/>
      <c r="D398" s="5"/>
      <c r="E398" s="5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5"/>
      <c r="B399" s="5"/>
      <c r="C399" s="5"/>
      <c r="D399" s="5"/>
      <c r="E399" s="5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5"/>
      <c r="B400" s="5"/>
      <c r="C400" s="5"/>
      <c r="D400" s="5"/>
      <c r="E400" s="5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5"/>
      <c r="B401" s="5"/>
      <c r="C401" s="5"/>
      <c r="D401" s="5"/>
      <c r="E401" s="5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5"/>
      <c r="B402" s="5"/>
      <c r="C402" s="5"/>
      <c r="D402" s="5"/>
      <c r="E402" s="5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5"/>
      <c r="B403" s="5"/>
      <c r="C403" s="5"/>
      <c r="D403" s="5"/>
      <c r="E403" s="5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5"/>
      <c r="B404" s="5"/>
      <c r="C404" s="5"/>
      <c r="D404" s="5"/>
      <c r="E404" s="5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5"/>
      <c r="B405" s="5"/>
      <c r="C405" s="5"/>
      <c r="D405" s="5"/>
      <c r="E405" s="5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5"/>
      <c r="B406" s="5"/>
      <c r="C406" s="5"/>
      <c r="D406" s="5"/>
      <c r="E406" s="5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5"/>
      <c r="B407" s="5"/>
      <c r="C407" s="5"/>
      <c r="D407" s="5"/>
      <c r="E407" s="5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5"/>
      <c r="B408" s="5"/>
      <c r="C408" s="5"/>
      <c r="D408" s="5"/>
      <c r="E408" s="5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5"/>
      <c r="B409" s="5"/>
      <c r="C409" s="5"/>
      <c r="D409" s="5"/>
      <c r="E409" s="5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5"/>
      <c r="B410" s="5"/>
      <c r="C410" s="5"/>
      <c r="D410" s="5"/>
      <c r="E410" s="5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5"/>
      <c r="B411" s="5"/>
      <c r="C411" s="5"/>
      <c r="D411" s="5"/>
      <c r="E411" s="5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5"/>
      <c r="B412" s="5"/>
      <c r="C412" s="5"/>
      <c r="D412" s="5"/>
      <c r="E412" s="5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5"/>
      <c r="B413" s="5"/>
      <c r="C413" s="5"/>
      <c r="D413" s="5"/>
      <c r="E413" s="5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5"/>
      <c r="B414" s="5"/>
      <c r="C414" s="5"/>
      <c r="D414" s="5"/>
      <c r="E414" s="5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5"/>
      <c r="B415" s="5"/>
      <c r="C415" s="5"/>
      <c r="D415" s="5"/>
      <c r="E415" s="5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5"/>
      <c r="B416" s="5"/>
      <c r="C416" s="5"/>
      <c r="D416" s="5"/>
      <c r="E416" s="5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5"/>
      <c r="B417" s="5"/>
      <c r="C417" s="5"/>
      <c r="D417" s="5"/>
      <c r="E417" s="5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5"/>
      <c r="B418" s="5"/>
      <c r="C418" s="5"/>
      <c r="D418" s="5"/>
      <c r="E418" s="5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5"/>
      <c r="B419" s="5"/>
      <c r="C419" s="5"/>
      <c r="D419" s="5"/>
      <c r="E419" s="5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5"/>
      <c r="B420" s="5"/>
      <c r="C420" s="5"/>
      <c r="D420" s="5"/>
      <c r="E420" s="5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5"/>
      <c r="B421" s="5"/>
      <c r="C421" s="5"/>
      <c r="D421" s="5"/>
      <c r="E421" s="5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5"/>
      <c r="B422" s="5"/>
      <c r="C422" s="5"/>
      <c r="D422" s="5"/>
      <c r="E422" s="5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5"/>
      <c r="B423" s="5"/>
      <c r="C423" s="5"/>
      <c r="D423" s="5"/>
      <c r="E423" s="5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5"/>
      <c r="B424" s="5"/>
      <c r="C424" s="5"/>
      <c r="D424" s="5"/>
      <c r="E424" s="5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5"/>
      <c r="B425" s="5"/>
      <c r="C425" s="5"/>
      <c r="D425" s="5"/>
      <c r="E425" s="5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5"/>
      <c r="B426" s="5"/>
      <c r="C426" s="5"/>
      <c r="D426" s="5"/>
      <c r="E426" s="5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5"/>
      <c r="B427" s="5"/>
      <c r="C427" s="5"/>
      <c r="D427" s="5"/>
      <c r="E427" s="5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5"/>
      <c r="B428" s="5"/>
      <c r="C428" s="5"/>
      <c r="D428" s="5"/>
      <c r="E428" s="5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5"/>
      <c r="B429" s="5"/>
      <c r="C429" s="5"/>
      <c r="D429" s="5"/>
      <c r="E429" s="5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5"/>
      <c r="B430" s="5"/>
      <c r="C430" s="5"/>
      <c r="D430" s="5"/>
      <c r="E430" s="5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5"/>
      <c r="B431" s="5"/>
      <c r="C431" s="5"/>
      <c r="D431" s="5"/>
      <c r="E431" s="5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5"/>
      <c r="B432" s="5"/>
      <c r="C432" s="5"/>
      <c r="D432" s="5"/>
      <c r="E432" s="5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5"/>
      <c r="B433" s="5"/>
      <c r="C433" s="5"/>
      <c r="D433" s="5"/>
      <c r="E433" s="5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5"/>
      <c r="B434" s="5"/>
      <c r="C434" s="5"/>
      <c r="D434" s="5"/>
      <c r="E434" s="5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5"/>
      <c r="B435" s="5"/>
      <c r="C435" s="5"/>
      <c r="D435" s="5"/>
      <c r="E435" s="5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5"/>
      <c r="B436" s="5"/>
      <c r="C436" s="5"/>
      <c r="D436" s="5"/>
      <c r="E436" s="5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5"/>
      <c r="B437" s="5"/>
      <c r="C437" s="5"/>
      <c r="D437" s="5"/>
      <c r="E437" s="5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5"/>
      <c r="B438" s="5"/>
      <c r="C438" s="5"/>
      <c r="D438" s="5"/>
      <c r="E438" s="5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5"/>
      <c r="B439" s="5"/>
      <c r="C439" s="5"/>
      <c r="D439" s="5"/>
      <c r="E439" s="5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5"/>
      <c r="B440" s="5"/>
      <c r="C440" s="5"/>
      <c r="D440" s="5"/>
      <c r="E440" s="5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5"/>
      <c r="B441" s="5"/>
      <c r="C441" s="5"/>
      <c r="D441" s="5"/>
      <c r="E441" s="5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5"/>
      <c r="B442" s="5"/>
      <c r="C442" s="5"/>
      <c r="D442" s="5"/>
      <c r="E442" s="5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5"/>
      <c r="B443" s="5"/>
      <c r="C443" s="5"/>
      <c r="D443" s="5"/>
      <c r="E443" s="5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5"/>
      <c r="B444" s="5"/>
      <c r="C444" s="5"/>
      <c r="D444" s="5"/>
      <c r="E444" s="5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5"/>
      <c r="B445" s="5"/>
      <c r="C445" s="5"/>
      <c r="D445" s="5"/>
      <c r="E445" s="5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5"/>
      <c r="B446" s="5"/>
      <c r="C446" s="5"/>
      <c r="D446" s="5"/>
      <c r="E446" s="5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5"/>
      <c r="B447" s="5"/>
      <c r="C447" s="5"/>
      <c r="D447" s="5"/>
      <c r="E447" s="5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5"/>
      <c r="B448" s="5"/>
      <c r="C448" s="5"/>
      <c r="D448" s="5"/>
      <c r="E448" s="5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5"/>
      <c r="B449" s="5"/>
      <c r="C449" s="5"/>
      <c r="D449" s="5"/>
      <c r="E449" s="5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5"/>
      <c r="B450" s="5"/>
      <c r="C450" s="5"/>
      <c r="D450" s="5"/>
      <c r="E450" s="5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5"/>
      <c r="B451" s="5"/>
      <c r="C451" s="5"/>
      <c r="D451" s="5"/>
      <c r="E451" s="5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5"/>
      <c r="B452" s="5"/>
      <c r="C452" s="5"/>
      <c r="D452" s="5"/>
      <c r="E452" s="5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5"/>
      <c r="B453" s="5"/>
      <c r="C453" s="5"/>
      <c r="D453" s="5"/>
      <c r="E453" s="5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5"/>
      <c r="B454" s="5"/>
      <c r="C454" s="5"/>
      <c r="D454" s="5"/>
      <c r="E454" s="5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5"/>
      <c r="B455" s="5"/>
      <c r="C455" s="5"/>
      <c r="D455" s="5"/>
      <c r="E455" s="5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5"/>
      <c r="B456" s="5"/>
      <c r="C456" s="5"/>
      <c r="D456" s="5"/>
      <c r="E456" s="5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5"/>
      <c r="B457" s="5"/>
      <c r="C457" s="5"/>
      <c r="D457" s="5"/>
      <c r="E457" s="5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5"/>
      <c r="B458" s="5"/>
      <c r="C458" s="5"/>
      <c r="D458" s="5"/>
      <c r="E458" s="5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5"/>
      <c r="B459" s="5"/>
      <c r="C459" s="5"/>
      <c r="D459" s="5"/>
      <c r="E459" s="5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5"/>
      <c r="B460" s="5"/>
      <c r="C460" s="5"/>
      <c r="D460" s="5"/>
      <c r="E460" s="5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5"/>
      <c r="B461" s="5"/>
      <c r="C461" s="5"/>
      <c r="D461" s="5"/>
      <c r="E461" s="5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5"/>
      <c r="B462" s="5"/>
      <c r="C462" s="5"/>
      <c r="D462" s="5"/>
      <c r="E462" s="5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5"/>
      <c r="B463" s="5"/>
      <c r="C463" s="5"/>
      <c r="D463" s="5"/>
      <c r="E463" s="5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5"/>
      <c r="B464" s="5"/>
      <c r="C464" s="5"/>
      <c r="D464" s="5"/>
      <c r="E464" s="5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5"/>
      <c r="B465" s="5"/>
      <c r="C465" s="5"/>
      <c r="D465" s="5"/>
      <c r="E465" s="5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5"/>
      <c r="B466" s="5"/>
      <c r="C466" s="5"/>
      <c r="D466" s="5"/>
      <c r="E466" s="5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5"/>
      <c r="B467" s="5"/>
      <c r="C467" s="5"/>
      <c r="D467" s="5"/>
      <c r="E467" s="5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5"/>
      <c r="B468" s="5"/>
      <c r="C468" s="5"/>
      <c r="D468" s="5"/>
      <c r="E468" s="5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5"/>
      <c r="B469" s="5"/>
      <c r="C469" s="5"/>
      <c r="D469" s="5"/>
      <c r="E469" s="5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5"/>
      <c r="B470" s="5"/>
      <c r="C470" s="5"/>
      <c r="D470" s="5"/>
      <c r="E470" s="5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5"/>
      <c r="B471" s="5"/>
      <c r="C471" s="5"/>
      <c r="D471" s="5"/>
      <c r="E471" s="5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5"/>
      <c r="B472" s="5"/>
      <c r="C472" s="5"/>
      <c r="D472" s="5"/>
      <c r="E472" s="5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5"/>
      <c r="B473" s="5"/>
      <c r="C473" s="5"/>
      <c r="D473" s="5"/>
      <c r="E473" s="5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5"/>
      <c r="B474" s="5"/>
      <c r="C474" s="5"/>
      <c r="D474" s="5"/>
      <c r="E474" s="5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5"/>
      <c r="B475" s="5"/>
      <c r="C475" s="5"/>
      <c r="D475" s="5"/>
      <c r="E475" s="5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5"/>
      <c r="B476" s="5"/>
      <c r="C476" s="5"/>
      <c r="D476" s="5"/>
      <c r="E476" s="5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5"/>
      <c r="B477" s="5"/>
      <c r="C477" s="5"/>
      <c r="D477" s="5"/>
      <c r="E477" s="5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5"/>
      <c r="B478" s="5"/>
      <c r="C478" s="5"/>
      <c r="D478" s="5"/>
      <c r="E478" s="5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5"/>
      <c r="B479" s="5"/>
      <c r="C479" s="5"/>
      <c r="D479" s="5"/>
      <c r="E479" s="5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5"/>
      <c r="B480" s="5"/>
      <c r="C480" s="5"/>
      <c r="D480" s="5"/>
      <c r="E480" s="5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5"/>
      <c r="B481" s="5"/>
      <c r="C481" s="5"/>
      <c r="D481" s="5"/>
      <c r="E481" s="5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5"/>
      <c r="B482" s="5"/>
      <c r="C482" s="5"/>
      <c r="D482" s="5"/>
      <c r="E482" s="5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5"/>
      <c r="B483" s="5"/>
      <c r="C483" s="5"/>
      <c r="D483" s="5"/>
      <c r="E483" s="5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5"/>
      <c r="B484" s="5"/>
      <c r="C484" s="5"/>
      <c r="D484" s="5"/>
      <c r="E484" s="5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5"/>
      <c r="B485" s="5"/>
      <c r="C485" s="5"/>
      <c r="D485" s="5"/>
      <c r="E485" s="5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5"/>
      <c r="B486" s="5"/>
      <c r="C486" s="5"/>
      <c r="D486" s="5"/>
      <c r="E486" s="5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5"/>
      <c r="B487" s="5"/>
      <c r="C487" s="5"/>
      <c r="D487" s="5"/>
      <c r="E487" s="5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5"/>
      <c r="B488" s="5"/>
      <c r="C488" s="5"/>
      <c r="D488" s="5"/>
      <c r="E488" s="5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5"/>
      <c r="B489" s="5"/>
      <c r="C489" s="5"/>
      <c r="D489" s="5"/>
      <c r="E489" s="5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5"/>
      <c r="B490" s="5"/>
      <c r="C490" s="5"/>
      <c r="D490" s="5"/>
      <c r="E490" s="5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5"/>
      <c r="B491" s="5"/>
      <c r="C491" s="5"/>
      <c r="D491" s="5"/>
      <c r="E491" s="5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5"/>
      <c r="B492" s="5"/>
      <c r="C492" s="5"/>
      <c r="D492" s="5"/>
      <c r="E492" s="5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5"/>
      <c r="B493" s="5"/>
      <c r="C493" s="5"/>
      <c r="D493" s="5"/>
      <c r="E493" s="5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5"/>
      <c r="B494" s="5"/>
      <c r="C494" s="5"/>
      <c r="D494" s="5"/>
      <c r="E494" s="5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5"/>
      <c r="B495" s="5"/>
      <c r="C495" s="5"/>
      <c r="D495" s="5"/>
      <c r="E495" s="5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5"/>
      <c r="B496" s="5"/>
      <c r="C496" s="5"/>
      <c r="D496" s="5"/>
      <c r="E496" s="5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5"/>
      <c r="B497" s="5"/>
      <c r="C497" s="5"/>
      <c r="D497" s="5"/>
      <c r="E497" s="5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5"/>
      <c r="B498" s="5"/>
      <c r="C498" s="5"/>
      <c r="D498" s="5"/>
      <c r="E498" s="5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5"/>
      <c r="B499" s="5"/>
      <c r="C499" s="5"/>
      <c r="D499" s="5"/>
      <c r="E499" s="5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5"/>
      <c r="B500" s="5"/>
      <c r="C500" s="5"/>
      <c r="D500" s="5"/>
      <c r="E500" s="5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5"/>
      <c r="B501" s="5"/>
      <c r="C501" s="5"/>
      <c r="D501" s="5"/>
      <c r="E501" s="5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5"/>
      <c r="B502" s="5"/>
      <c r="C502" s="5"/>
      <c r="D502" s="5"/>
      <c r="E502" s="5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5"/>
      <c r="B503" s="5"/>
      <c r="C503" s="5"/>
      <c r="D503" s="5"/>
      <c r="E503" s="5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5"/>
      <c r="B504" s="5"/>
      <c r="C504" s="5"/>
      <c r="D504" s="5"/>
      <c r="E504" s="5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5"/>
      <c r="B505" s="5"/>
      <c r="C505" s="5"/>
      <c r="D505" s="5"/>
      <c r="E505" s="5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5"/>
      <c r="B506" s="5"/>
      <c r="C506" s="5"/>
      <c r="D506" s="5"/>
      <c r="E506" s="5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5"/>
      <c r="B507" s="5"/>
      <c r="C507" s="5"/>
      <c r="D507" s="5"/>
      <c r="E507" s="5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5"/>
      <c r="B508" s="5"/>
      <c r="C508" s="5"/>
      <c r="D508" s="5"/>
      <c r="E508" s="5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5"/>
      <c r="B509" s="5"/>
      <c r="C509" s="5"/>
      <c r="D509" s="5"/>
      <c r="E509" s="5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5"/>
      <c r="B510" s="5"/>
      <c r="C510" s="5"/>
      <c r="D510" s="5"/>
      <c r="E510" s="5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5"/>
      <c r="B511" s="5"/>
      <c r="C511" s="5"/>
      <c r="D511" s="5"/>
      <c r="E511" s="5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5"/>
      <c r="B512" s="5"/>
      <c r="C512" s="5"/>
      <c r="D512" s="5"/>
      <c r="E512" s="5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5"/>
      <c r="B513" s="5"/>
      <c r="C513" s="5"/>
      <c r="D513" s="5"/>
      <c r="E513" s="5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5"/>
      <c r="B514" s="5"/>
      <c r="C514" s="5"/>
      <c r="D514" s="5"/>
      <c r="E514" s="5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5"/>
      <c r="B515" s="5"/>
      <c r="C515" s="5"/>
      <c r="D515" s="5"/>
      <c r="E515" s="5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5"/>
      <c r="B516" s="5"/>
      <c r="C516" s="5"/>
      <c r="D516" s="5"/>
      <c r="E516" s="5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5"/>
      <c r="B517" s="5"/>
      <c r="C517" s="5"/>
      <c r="D517" s="5"/>
      <c r="E517" s="5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5"/>
      <c r="B518" s="5"/>
      <c r="C518" s="5"/>
      <c r="D518" s="5"/>
      <c r="E518" s="5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5"/>
      <c r="B519" s="5"/>
      <c r="C519" s="5"/>
      <c r="D519" s="5"/>
      <c r="E519" s="5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5"/>
      <c r="B520" s="5"/>
      <c r="C520" s="5"/>
      <c r="D520" s="5"/>
      <c r="E520" s="5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5"/>
      <c r="B521" s="5"/>
      <c r="C521" s="5"/>
      <c r="D521" s="5"/>
      <c r="E521" s="5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5"/>
      <c r="B522" s="5"/>
      <c r="C522" s="5"/>
      <c r="D522" s="5"/>
      <c r="E522" s="5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5"/>
      <c r="B523" s="5"/>
      <c r="C523" s="5"/>
      <c r="D523" s="5"/>
      <c r="E523" s="5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5"/>
      <c r="B524" s="5"/>
      <c r="C524" s="5"/>
      <c r="D524" s="5"/>
      <c r="E524" s="5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5"/>
      <c r="B525" s="5"/>
      <c r="C525" s="5"/>
      <c r="D525" s="5"/>
      <c r="E525" s="5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5"/>
      <c r="B526" s="5"/>
      <c r="C526" s="5"/>
      <c r="D526" s="5"/>
      <c r="E526" s="5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5"/>
      <c r="B527" s="5"/>
      <c r="C527" s="5"/>
      <c r="D527" s="5"/>
      <c r="E527" s="5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5"/>
      <c r="B528" s="5"/>
      <c r="C528" s="5"/>
      <c r="D528" s="5"/>
      <c r="E528" s="5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5"/>
      <c r="B529" s="5"/>
      <c r="C529" s="5"/>
      <c r="D529" s="5"/>
      <c r="E529" s="5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5"/>
      <c r="B530" s="5"/>
      <c r="C530" s="5"/>
      <c r="D530" s="5"/>
      <c r="E530" s="5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5"/>
      <c r="B531" s="5"/>
      <c r="C531" s="5"/>
      <c r="D531" s="5"/>
      <c r="E531" s="5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5"/>
      <c r="B532" s="5"/>
      <c r="C532" s="5"/>
      <c r="D532" s="5"/>
      <c r="E532" s="5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5"/>
      <c r="B533" s="5"/>
      <c r="C533" s="5"/>
      <c r="D533" s="5"/>
      <c r="E533" s="5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5"/>
      <c r="B534" s="5"/>
      <c r="C534" s="5"/>
      <c r="D534" s="5"/>
      <c r="E534" s="5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5"/>
      <c r="B535" s="5"/>
      <c r="C535" s="5"/>
      <c r="D535" s="5"/>
      <c r="E535" s="5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5"/>
      <c r="B536" s="5"/>
      <c r="C536" s="5"/>
      <c r="D536" s="5"/>
      <c r="E536" s="5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5"/>
      <c r="B537" s="5"/>
      <c r="C537" s="5"/>
      <c r="D537" s="5"/>
      <c r="E537" s="5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5"/>
      <c r="B538" s="5"/>
      <c r="C538" s="5"/>
      <c r="D538" s="5"/>
      <c r="E538" s="5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5"/>
      <c r="B539" s="5"/>
      <c r="C539" s="5"/>
      <c r="D539" s="5"/>
      <c r="E539" s="5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5"/>
      <c r="B540" s="5"/>
      <c r="C540" s="5"/>
      <c r="D540" s="5"/>
      <c r="E540" s="5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5"/>
      <c r="B541" s="5"/>
      <c r="C541" s="5"/>
      <c r="D541" s="5"/>
      <c r="E541" s="5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5"/>
      <c r="B542" s="5"/>
      <c r="C542" s="5"/>
      <c r="D542" s="5"/>
      <c r="E542" s="5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5"/>
      <c r="B543" s="5"/>
      <c r="C543" s="5"/>
      <c r="D543" s="5"/>
      <c r="E543" s="5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5"/>
      <c r="B544" s="5"/>
      <c r="C544" s="5"/>
      <c r="D544" s="5"/>
      <c r="E544" s="5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5"/>
      <c r="B545" s="5"/>
      <c r="C545" s="5"/>
      <c r="D545" s="5"/>
      <c r="E545" s="5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5"/>
      <c r="B546" s="5"/>
      <c r="C546" s="5"/>
      <c r="D546" s="5"/>
      <c r="E546" s="5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5"/>
      <c r="B547" s="5"/>
      <c r="C547" s="5"/>
      <c r="D547" s="5"/>
      <c r="E547" s="5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5"/>
      <c r="B548" s="5"/>
      <c r="C548" s="5"/>
      <c r="D548" s="5"/>
      <c r="E548" s="5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5"/>
      <c r="B549" s="5"/>
      <c r="C549" s="5"/>
      <c r="D549" s="5"/>
      <c r="E549" s="5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5"/>
      <c r="B550" s="5"/>
      <c r="C550" s="5"/>
      <c r="D550" s="5"/>
      <c r="E550" s="5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5"/>
      <c r="B551" s="5"/>
      <c r="C551" s="5"/>
      <c r="D551" s="5"/>
      <c r="E551" s="5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5"/>
      <c r="B552" s="5"/>
      <c r="C552" s="5"/>
      <c r="D552" s="5"/>
      <c r="E552" s="5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5"/>
      <c r="B553" s="5"/>
      <c r="C553" s="5"/>
      <c r="D553" s="5"/>
      <c r="E553" s="5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5"/>
      <c r="B554" s="5"/>
      <c r="C554" s="5"/>
      <c r="D554" s="5"/>
      <c r="E554" s="5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5"/>
      <c r="B555" s="5"/>
      <c r="C555" s="5"/>
      <c r="D555" s="5"/>
      <c r="E555" s="5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5"/>
      <c r="B556" s="5"/>
      <c r="C556" s="5"/>
      <c r="D556" s="5"/>
      <c r="E556" s="5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5"/>
      <c r="B557" s="5"/>
      <c r="C557" s="5"/>
      <c r="D557" s="5"/>
      <c r="E557" s="5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5"/>
      <c r="B558" s="5"/>
      <c r="C558" s="5"/>
      <c r="D558" s="5"/>
      <c r="E558" s="5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5"/>
      <c r="B559" s="5"/>
      <c r="C559" s="5"/>
      <c r="D559" s="5"/>
      <c r="E559" s="5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5"/>
      <c r="B560" s="5"/>
      <c r="C560" s="5"/>
      <c r="D560" s="5"/>
      <c r="E560" s="5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5"/>
      <c r="B561" s="5"/>
      <c r="C561" s="5"/>
      <c r="D561" s="5"/>
      <c r="E561" s="5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5"/>
      <c r="B562" s="5"/>
      <c r="C562" s="5"/>
      <c r="D562" s="5"/>
      <c r="E562" s="5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5"/>
      <c r="B563" s="5"/>
      <c r="C563" s="5"/>
      <c r="D563" s="5"/>
      <c r="E563" s="5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5"/>
      <c r="B564" s="5"/>
      <c r="C564" s="5"/>
      <c r="D564" s="5"/>
      <c r="E564" s="5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5"/>
      <c r="B565" s="5"/>
      <c r="C565" s="5"/>
      <c r="D565" s="5"/>
      <c r="E565" s="5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5"/>
      <c r="B566" s="5"/>
      <c r="C566" s="5"/>
      <c r="D566" s="5"/>
      <c r="E566" s="5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5"/>
      <c r="B567" s="5"/>
      <c r="C567" s="5"/>
      <c r="D567" s="5"/>
      <c r="E567" s="5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5"/>
      <c r="B568" s="5"/>
      <c r="C568" s="5"/>
      <c r="D568" s="5"/>
      <c r="E568" s="5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5"/>
      <c r="B569" s="5"/>
      <c r="C569" s="5"/>
      <c r="D569" s="5"/>
      <c r="E569" s="5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5"/>
      <c r="B570" s="5"/>
      <c r="C570" s="5"/>
      <c r="D570" s="5"/>
      <c r="E570" s="5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5"/>
      <c r="B571" s="5"/>
      <c r="C571" s="5"/>
      <c r="D571" s="5"/>
      <c r="E571" s="5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5"/>
      <c r="B572" s="5"/>
      <c r="C572" s="5"/>
      <c r="D572" s="5"/>
      <c r="E572" s="5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5"/>
      <c r="B573" s="5"/>
      <c r="C573" s="5"/>
      <c r="D573" s="5"/>
      <c r="E573" s="5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5"/>
      <c r="B574" s="5"/>
      <c r="C574" s="5"/>
      <c r="D574" s="5"/>
      <c r="E574" s="5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5"/>
      <c r="B575" s="5"/>
      <c r="C575" s="5"/>
      <c r="D575" s="5"/>
      <c r="E575" s="5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5"/>
      <c r="B576" s="5"/>
      <c r="C576" s="5"/>
      <c r="D576" s="5"/>
      <c r="E576" s="5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5"/>
      <c r="B577" s="5"/>
      <c r="C577" s="5"/>
      <c r="D577" s="5"/>
      <c r="E577" s="5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5"/>
      <c r="B578" s="5"/>
      <c r="C578" s="5"/>
      <c r="D578" s="5"/>
      <c r="E578" s="5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5"/>
      <c r="B579" s="5"/>
      <c r="C579" s="5"/>
      <c r="D579" s="5"/>
      <c r="E579" s="5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5"/>
      <c r="B580" s="5"/>
      <c r="C580" s="5"/>
      <c r="D580" s="5"/>
      <c r="E580" s="5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5"/>
      <c r="B581" s="5"/>
      <c r="C581" s="5"/>
      <c r="D581" s="5"/>
      <c r="E581" s="5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5"/>
      <c r="B582" s="5"/>
      <c r="C582" s="5"/>
      <c r="D582" s="5"/>
      <c r="E582" s="5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5"/>
      <c r="B583" s="5"/>
      <c r="C583" s="5"/>
      <c r="D583" s="5"/>
      <c r="E583" s="5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5"/>
      <c r="B584" s="5"/>
      <c r="C584" s="5"/>
      <c r="D584" s="5"/>
      <c r="E584" s="5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5"/>
      <c r="B585" s="5"/>
      <c r="C585" s="5"/>
      <c r="D585" s="5"/>
      <c r="E585" s="5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5"/>
      <c r="B586" s="5"/>
      <c r="C586" s="5"/>
      <c r="D586" s="5"/>
      <c r="E586" s="5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5"/>
      <c r="B587" s="5"/>
      <c r="C587" s="5"/>
      <c r="D587" s="5"/>
      <c r="E587" s="5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5"/>
      <c r="B588" s="5"/>
      <c r="C588" s="5"/>
      <c r="D588" s="5"/>
      <c r="E588" s="5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5"/>
      <c r="B589" s="5"/>
      <c r="C589" s="5"/>
      <c r="D589" s="5"/>
      <c r="E589" s="5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5"/>
      <c r="B590" s="5"/>
      <c r="C590" s="5"/>
      <c r="D590" s="5"/>
      <c r="E590" s="5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5"/>
      <c r="B591" s="5"/>
      <c r="C591" s="5"/>
      <c r="D591" s="5"/>
      <c r="E591" s="5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5"/>
      <c r="B592" s="5"/>
      <c r="C592" s="5"/>
      <c r="D592" s="5"/>
      <c r="E592" s="5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5"/>
      <c r="B593" s="5"/>
      <c r="C593" s="5"/>
      <c r="D593" s="5"/>
      <c r="E593" s="5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5"/>
      <c r="B594" s="5"/>
      <c r="C594" s="5"/>
      <c r="D594" s="5"/>
      <c r="E594" s="5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5"/>
      <c r="B595" s="5"/>
      <c r="C595" s="5"/>
      <c r="D595" s="5"/>
      <c r="E595" s="5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5"/>
      <c r="B596" s="5"/>
      <c r="C596" s="5"/>
      <c r="D596" s="5"/>
      <c r="E596" s="5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5"/>
      <c r="B597" s="5"/>
      <c r="C597" s="5"/>
      <c r="D597" s="5"/>
      <c r="E597" s="5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5"/>
      <c r="B598" s="5"/>
      <c r="C598" s="5"/>
      <c r="D598" s="5"/>
      <c r="E598" s="5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5"/>
      <c r="B599" s="5"/>
      <c r="C599" s="5"/>
      <c r="D599" s="5"/>
      <c r="E599" s="5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5"/>
      <c r="B600" s="5"/>
      <c r="C600" s="5"/>
      <c r="D600" s="5"/>
      <c r="E600" s="5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5"/>
      <c r="B601" s="5"/>
      <c r="C601" s="5"/>
      <c r="D601" s="5"/>
      <c r="E601" s="5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5"/>
      <c r="B602" s="5"/>
      <c r="C602" s="5"/>
      <c r="D602" s="5"/>
      <c r="E602" s="5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5"/>
      <c r="B603" s="5"/>
      <c r="C603" s="5"/>
      <c r="D603" s="5"/>
      <c r="E603" s="5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5"/>
      <c r="B604" s="5"/>
      <c r="C604" s="5"/>
      <c r="D604" s="5"/>
      <c r="E604" s="5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5"/>
      <c r="B605" s="5"/>
      <c r="C605" s="5"/>
      <c r="D605" s="5"/>
      <c r="E605" s="5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5"/>
      <c r="B606" s="5"/>
      <c r="C606" s="5"/>
      <c r="D606" s="5"/>
      <c r="E606" s="5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5"/>
      <c r="B607" s="5"/>
      <c r="C607" s="5"/>
      <c r="D607" s="5"/>
      <c r="E607" s="5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5"/>
      <c r="B608" s="5"/>
      <c r="C608" s="5"/>
      <c r="D608" s="5"/>
      <c r="E608" s="5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5"/>
      <c r="B609" s="5"/>
      <c r="C609" s="5"/>
      <c r="D609" s="5"/>
      <c r="E609" s="5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5"/>
      <c r="B610" s="5"/>
      <c r="C610" s="5"/>
      <c r="D610" s="5"/>
      <c r="E610" s="5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5"/>
      <c r="B611" s="5"/>
      <c r="C611" s="5"/>
      <c r="D611" s="5"/>
      <c r="E611" s="5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5"/>
      <c r="B612" s="5"/>
      <c r="C612" s="5"/>
      <c r="D612" s="5"/>
      <c r="E612" s="5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5"/>
      <c r="B613" s="5"/>
      <c r="C613" s="5"/>
      <c r="D613" s="5"/>
      <c r="E613" s="5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5"/>
      <c r="B614" s="5"/>
      <c r="C614" s="5"/>
      <c r="D614" s="5"/>
      <c r="E614" s="5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5"/>
      <c r="B615" s="5"/>
      <c r="C615" s="5"/>
      <c r="D615" s="5"/>
      <c r="E615" s="5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5"/>
      <c r="B616" s="5"/>
      <c r="C616" s="5"/>
      <c r="D616" s="5"/>
      <c r="E616" s="5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5"/>
      <c r="B617" s="5"/>
      <c r="C617" s="5"/>
      <c r="D617" s="5"/>
      <c r="E617" s="5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5"/>
      <c r="B618" s="5"/>
      <c r="C618" s="5"/>
      <c r="D618" s="5"/>
      <c r="E618" s="5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5"/>
      <c r="B619" s="5"/>
      <c r="C619" s="5"/>
      <c r="D619" s="5"/>
      <c r="E619" s="5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5"/>
      <c r="B620" s="5"/>
      <c r="C620" s="5"/>
      <c r="D620" s="5"/>
      <c r="E620" s="5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5"/>
      <c r="B621" s="5"/>
      <c r="C621" s="5"/>
      <c r="D621" s="5"/>
      <c r="E621" s="5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5"/>
      <c r="B622" s="5"/>
      <c r="C622" s="5"/>
      <c r="D622" s="5"/>
      <c r="E622" s="5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5"/>
      <c r="B623" s="5"/>
      <c r="C623" s="5"/>
      <c r="D623" s="5"/>
      <c r="E623" s="5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5"/>
      <c r="B624" s="5"/>
      <c r="C624" s="5"/>
      <c r="D624" s="5"/>
      <c r="E624" s="5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5"/>
      <c r="B625" s="5"/>
      <c r="C625" s="5"/>
      <c r="D625" s="5"/>
      <c r="E625" s="5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5"/>
      <c r="B626" s="5"/>
      <c r="C626" s="5"/>
      <c r="D626" s="5"/>
      <c r="E626" s="5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5"/>
      <c r="B627" s="5"/>
      <c r="C627" s="5"/>
      <c r="D627" s="5"/>
      <c r="E627" s="5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5"/>
      <c r="B628" s="5"/>
      <c r="C628" s="5"/>
      <c r="D628" s="5"/>
      <c r="E628" s="5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5"/>
      <c r="B629" s="5"/>
      <c r="C629" s="5"/>
      <c r="D629" s="5"/>
      <c r="E629" s="5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5"/>
      <c r="B630" s="5"/>
      <c r="C630" s="5"/>
      <c r="D630" s="5"/>
      <c r="E630" s="5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5"/>
      <c r="B631" s="5"/>
      <c r="C631" s="5"/>
      <c r="D631" s="5"/>
      <c r="E631" s="5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5"/>
      <c r="B632" s="5"/>
      <c r="C632" s="5"/>
      <c r="D632" s="5"/>
      <c r="E632" s="5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5"/>
      <c r="B633" s="5"/>
      <c r="C633" s="5"/>
      <c r="D633" s="5"/>
      <c r="E633" s="5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5"/>
      <c r="B634" s="5"/>
      <c r="C634" s="5"/>
      <c r="D634" s="5"/>
      <c r="E634" s="5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5"/>
      <c r="B635" s="5"/>
      <c r="C635" s="5"/>
      <c r="D635" s="5"/>
      <c r="E635" s="5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5"/>
      <c r="B636" s="5"/>
      <c r="C636" s="5"/>
      <c r="D636" s="5"/>
      <c r="E636" s="5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5"/>
      <c r="B637" s="5"/>
      <c r="C637" s="5"/>
      <c r="D637" s="5"/>
      <c r="E637" s="5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5"/>
      <c r="B638" s="5"/>
      <c r="C638" s="5"/>
      <c r="D638" s="5"/>
      <c r="E638" s="5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5"/>
      <c r="B639" s="5"/>
      <c r="C639" s="5"/>
      <c r="D639" s="5"/>
      <c r="E639" s="5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5"/>
      <c r="B640" s="5"/>
      <c r="C640" s="5"/>
      <c r="D640" s="5"/>
      <c r="E640" s="5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5"/>
      <c r="B641" s="5"/>
      <c r="C641" s="5"/>
      <c r="D641" s="5"/>
      <c r="E641" s="5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5"/>
      <c r="B642" s="5"/>
      <c r="C642" s="5"/>
      <c r="D642" s="5"/>
      <c r="E642" s="5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5"/>
      <c r="B643" s="5"/>
      <c r="C643" s="5"/>
      <c r="D643" s="5"/>
      <c r="E643" s="5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5"/>
      <c r="B644" s="5"/>
      <c r="C644" s="5"/>
      <c r="D644" s="5"/>
      <c r="E644" s="5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5"/>
      <c r="B645" s="5"/>
      <c r="C645" s="5"/>
      <c r="D645" s="5"/>
      <c r="E645" s="5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5"/>
      <c r="B646" s="5"/>
      <c r="C646" s="5"/>
      <c r="D646" s="5"/>
      <c r="E646" s="5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5"/>
      <c r="B647" s="5"/>
      <c r="C647" s="5"/>
      <c r="D647" s="5"/>
      <c r="E647" s="5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5"/>
      <c r="B648" s="5"/>
      <c r="C648" s="5"/>
      <c r="D648" s="5"/>
      <c r="E648" s="5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5"/>
      <c r="B649" s="5"/>
      <c r="C649" s="5"/>
      <c r="D649" s="5"/>
      <c r="E649" s="5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5"/>
      <c r="B650" s="5"/>
      <c r="C650" s="5"/>
      <c r="D650" s="5"/>
      <c r="E650" s="5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5"/>
      <c r="B651" s="5"/>
      <c r="C651" s="5"/>
      <c r="D651" s="5"/>
      <c r="E651" s="5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5"/>
      <c r="B652" s="5"/>
      <c r="C652" s="5"/>
      <c r="D652" s="5"/>
      <c r="E652" s="5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5"/>
      <c r="B653" s="5"/>
      <c r="C653" s="5"/>
      <c r="D653" s="5"/>
      <c r="E653" s="5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5"/>
      <c r="B654" s="5"/>
      <c r="C654" s="5"/>
      <c r="D654" s="5"/>
      <c r="E654" s="5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5"/>
      <c r="B655" s="5"/>
      <c r="C655" s="5"/>
      <c r="D655" s="5"/>
      <c r="E655" s="5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5"/>
      <c r="B656" s="5"/>
      <c r="C656" s="5"/>
      <c r="D656" s="5"/>
      <c r="E656" s="5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5"/>
      <c r="B657" s="5"/>
      <c r="C657" s="5"/>
      <c r="D657" s="5"/>
      <c r="E657" s="5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5"/>
      <c r="B658" s="5"/>
      <c r="C658" s="5"/>
      <c r="D658" s="5"/>
      <c r="E658" s="5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5"/>
      <c r="B659" s="5"/>
      <c r="C659" s="5"/>
      <c r="D659" s="5"/>
      <c r="E659" s="5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5"/>
      <c r="B660" s="5"/>
      <c r="C660" s="5"/>
      <c r="D660" s="5"/>
      <c r="E660" s="5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5"/>
      <c r="B661" s="5"/>
      <c r="C661" s="5"/>
      <c r="D661" s="5"/>
      <c r="E661" s="5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5"/>
      <c r="B662" s="5"/>
      <c r="C662" s="5"/>
      <c r="D662" s="5"/>
      <c r="E662" s="5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5"/>
      <c r="B663" s="5"/>
      <c r="C663" s="5"/>
      <c r="D663" s="5"/>
      <c r="E663" s="5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5"/>
      <c r="B664" s="5"/>
      <c r="C664" s="5"/>
      <c r="D664" s="5"/>
      <c r="E664" s="5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5"/>
      <c r="B665" s="5"/>
      <c r="C665" s="5"/>
      <c r="D665" s="5"/>
      <c r="E665" s="5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5"/>
      <c r="B666" s="5"/>
      <c r="C666" s="5"/>
      <c r="D666" s="5"/>
      <c r="E666" s="5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5"/>
      <c r="B667" s="5"/>
      <c r="C667" s="5"/>
      <c r="D667" s="5"/>
      <c r="E667" s="5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5"/>
      <c r="B668" s="5"/>
      <c r="C668" s="5"/>
      <c r="D668" s="5"/>
      <c r="E668" s="5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5"/>
      <c r="B669" s="5"/>
      <c r="C669" s="5"/>
      <c r="D669" s="5"/>
      <c r="E669" s="5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5"/>
      <c r="B670" s="5"/>
      <c r="C670" s="5"/>
      <c r="D670" s="5"/>
      <c r="E670" s="5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5"/>
      <c r="B671" s="5"/>
      <c r="C671" s="5"/>
      <c r="D671" s="5"/>
      <c r="E671" s="5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5"/>
      <c r="B672" s="5"/>
      <c r="C672" s="5"/>
      <c r="D672" s="5"/>
      <c r="E672" s="5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5"/>
      <c r="B673" s="5"/>
      <c r="C673" s="5"/>
      <c r="D673" s="5"/>
      <c r="E673" s="5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5"/>
      <c r="B674" s="5"/>
      <c r="C674" s="5"/>
      <c r="D674" s="5"/>
      <c r="E674" s="5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5"/>
      <c r="B675" s="5"/>
      <c r="C675" s="5"/>
      <c r="D675" s="5"/>
      <c r="E675" s="5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5"/>
      <c r="B676" s="5"/>
      <c r="C676" s="5"/>
      <c r="D676" s="5"/>
      <c r="E676" s="5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5"/>
      <c r="B677" s="5"/>
      <c r="C677" s="5"/>
      <c r="D677" s="5"/>
      <c r="E677" s="5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5"/>
      <c r="B678" s="5"/>
      <c r="C678" s="5"/>
      <c r="D678" s="5"/>
      <c r="E678" s="5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5"/>
      <c r="B679" s="5"/>
      <c r="C679" s="5"/>
      <c r="D679" s="5"/>
      <c r="E679" s="5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5"/>
      <c r="B680" s="5"/>
      <c r="C680" s="5"/>
      <c r="D680" s="5"/>
      <c r="E680" s="5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5"/>
      <c r="B681" s="5"/>
      <c r="C681" s="5"/>
      <c r="D681" s="5"/>
      <c r="E681" s="5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5"/>
      <c r="B682" s="5"/>
      <c r="C682" s="5"/>
      <c r="D682" s="5"/>
      <c r="E682" s="5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5"/>
      <c r="B683" s="5"/>
      <c r="C683" s="5"/>
      <c r="D683" s="5"/>
      <c r="E683" s="5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5"/>
      <c r="B684" s="5"/>
      <c r="C684" s="5"/>
      <c r="D684" s="5"/>
      <c r="E684" s="5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5"/>
      <c r="B685" s="5"/>
      <c r="C685" s="5"/>
      <c r="D685" s="5"/>
      <c r="E685" s="5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5"/>
      <c r="B686" s="5"/>
      <c r="C686" s="5"/>
      <c r="D686" s="5"/>
      <c r="E686" s="5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5"/>
      <c r="B687" s="5"/>
      <c r="C687" s="5"/>
      <c r="D687" s="5"/>
      <c r="E687" s="5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5"/>
      <c r="B688" s="5"/>
      <c r="C688" s="5"/>
      <c r="D688" s="5"/>
      <c r="E688" s="5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5"/>
      <c r="B689" s="5"/>
      <c r="C689" s="5"/>
      <c r="D689" s="5"/>
      <c r="E689" s="5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5"/>
      <c r="B690" s="5"/>
      <c r="C690" s="5"/>
      <c r="D690" s="5"/>
      <c r="E690" s="5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5"/>
      <c r="B691" s="5"/>
      <c r="C691" s="5"/>
      <c r="D691" s="5"/>
      <c r="E691" s="5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5"/>
      <c r="B692" s="5"/>
      <c r="C692" s="5"/>
      <c r="D692" s="5"/>
      <c r="E692" s="5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5"/>
      <c r="B693" s="5"/>
      <c r="C693" s="5"/>
      <c r="D693" s="5"/>
      <c r="E693" s="5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5"/>
      <c r="B694" s="5"/>
      <c r="C694" s="5"/>
      <c r="D694" s="5"/>
      <c r="E694" s="5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5"/>
      <c r="B695" s="5"/>
      <c r="C695" s="5"/>
      <c r="D695" s="5"/>
      <c r="E695" s="5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5"/>
      <c r="B696" s="5"/>
      <c r="C696" s="5"/>
      <c r="D696" s="5"/>
      <c r="E696" s="5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5"/>
      <c r="B697" s="5"/>
      <c r="C697" s="5"/>
      <c r="D697" s="5"/>
      <c r="E697" s="5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5"/>
      <c r="B698" s="5"/>
      <c r="C698" s="5"/>
      <c r="D698" s="5"/>
      <c r="E698" s="5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5"/>
      <c r="B699" s="5"/>
      <c r="C699" s="5"/>
      <c r="D699" s="5"/>
      <c r="E699" s="5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5"/>
      <c r="B700" s="5"/>
      <c r="C700" s="5"/>
      <c r="D700" s="5"/>
      <c r="E700" s="5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5"/>
      <c r="B701" s="5"/>
      <c r="C701" s="5"/>
      <c r="D701" s="5"/>
      <c r="E701" s="5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5"/>
      <c r="B702" s="5"/>
      <c r="C702" s="5"/>
      <c r="D702" s="5"/>
      <c r="E702" s="5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5"/>
      <c r="B703" s="5"/>
      <c r="C703" s="5"/>
      <c r="D703" s="5"/>
      <c r="E703" s="5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5"/>
      <c r="B704" s="5"/>
      <c r="C704" s="5"/>
      <c r="D704" s="5"/>
      <c r="E704" s="5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5"/>
      <c r="B705" s="5"/>
      <c r="C705" s="5"/>
      <c r="D705" s="5"/>
      <c r="E705" s="5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5"/>
      <c r="B706" s="5"/>
      <c r="C706" s="5"/>
      <c r="D706" s="5"/>
      <c r="E706" s="5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5"/>
      <c r="B707" s="5"/>
      <c r="C707" s="5"/>
      <c r="D707" s="5"/>
      <c r="E707" s="5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5"/>
      <c r="B708" s="5"/>
      <c r="C708" s="5"/>
      <c r="D708" s="5"/>
      <c r="E708" s="5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5"/>
      <c r="B709" s="5"/>
      <c r="C709" s="5"/>
      <c r="D709" s="5"/>
      <c r="E709" s="5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5"/>
      <c r="B710" s="5"/>
      <c r="C710" s="5"/>
      <c r="D710" s="5"/>
      <c r="E710" s="5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5"/>
      <c r="B711" s="5"/>
      <c r="C711" s="5"/>
      <c r="D711" s="5"/>
      <c r="E711" s="5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5"/>
      <c r="B712" s="5"/>
      <c r="C712" s="5"/>
      <c r="D712" s="5"/>
      <c r="E712" s="5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5"/>
      <c r="B713" s="5"/>
      <c r="C713" s="5"/>
      <c r="D713" s="5"/>
      <c r="E713" s="5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5"/>
      <c r="B714" s="5"/>
      <c r="C714" s="5"/>
      <c r="D714" s="5"/>
      <c r="E714" s="5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5"/>
      <c r="B715" s="5"/>
      <c r="C715" s="5"/>
      <c r="D715" s="5"/>
      <c r="E715" s="5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5"/>
      <c r="B716" s="5"/>
      <c r="C716" s="5"/>
      <c r="D716" s="5"/>
      <c r="E716" s="5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5"/>
      <c r="B717" s="5"/>
      <c r="C717" s="5"/>
      <c r="D717" s="5"/>
      <c r="E717" s="5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5"/>
      <c r="B718" s="5"/>
      <c r="C718" s="5"/>
      <c r="D718" s="5"/>
      <c r="E718" s="5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5"/>
      <c r="B719" s="5"/>
      <c r="C719" s="5"/>
      <c r="D719" s="5"/>
      <c r="E719" s="5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5"/>
      <c r="B720" s="5"/>
      <c r="C720" s="5"/>
      <c r="D720" s="5"/>
      <c r="E720" s="5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5"/>
      <c r="B721" s="5"/>
      <c r="C721" s="5"/>
      <c r="D721" s="5"/>
      <c r="E721" s="5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5"/>
      <c r="B722" s="5"/>
      <c r="C722" s="5"/>
      <c r="D722" s="5"/>
      <c r="E722" s="5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5"/>
      <c r="B723" s="5"/>
      <c r="C723" s="5"/>
      <c r="D723" s="5"/>
      <c r="E723" s="5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5"/>
      <c r="B724" s="5"/>
      <c r="C724" s="5"/>
      <c r="D724" s="5"/>
      <c r="E724" s="5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5"/>
      <c r="B725" s="5"/>
      <c r="C725" s="5"/>
      <c r="D725" s="5"/>
      <c r="E725" s="5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5"/>
      <c r="B726" s="5"/>
      <c r="C726" s="5"/>
      <c r="D726" s="5"/>
      <c r="E726" s="5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5"/>
      <c r="B727" s="5"/>
      <c r="C727" s="5"/>
      <c r="D727" s="5"/>
      <c r="E727" s="5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5"/>
      <c r="B728" s="5"/>
      <c r="C728" s="5"/>
      <c r="D728" s="5"/>
      <c r="E728" s="5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5"/>
      <c r="B729" s="5"/>
      <c r="C729" s="5"/>
      <c r="D729" s="5"/>
      <c r="E729" s="5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5"/>
      <c r="B730" s="5"/>
      <c r="C730" s="5"/>
      <c r="D730" s="5"/>
      <c r="E730" s="5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5"/>
      <c r="B731" s="5"/>
      <c r="C731" s="5"/>
      <c r="D731" s="5"/>
      <c r="E731" s="5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5"/>
      <c r="B732" s="5"/>
      <c r="C732" s="5"/>
      <c r="D732" s="5"/>
      <c r="E732" s="5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5"/>
      <c r="B733" s="5"/>
      <c r="C733" s="5"/>
      <c r="D733" s="5"/>
      <c r="E733" s="5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5"/>
      <c r="B734" s="5"/>
      <c r="C734" s="5"/>
      <c r="D734" s="5"/>
      <c r="E734" s="5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5"/>
      <c r="B735" s="5"/>
      <c r="C735" s="5"/>
      <c r="D735" s="5"/>
      <c r="E735" s="5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5"/>
      <c r="B736" s="5"/>
      <c r="C736" s="5"/>
      <c r="D736" s="5"/>
      <c r="E736" s="5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5"/>
      <c r="B737" s="5"/>
      <c r="C737" s="5"/>
      <c r="D737" s="5"/>
      <c r="E737" s="5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5"/>
      <c r="B738" s="5"/>
      <c r="C738" s="5"/>
      <c r="D738" s="5"/>
      <c r="E738" s="5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5"/>
      <c r="B739" s="5"/>
      <c r="C739" s="5"/>
      <c r="D739" s="5"/>
      <c r="E739" s="5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5"/>
      <c r="B740" s="5"/>
      <c r="C740" s="5"/>
      <c r="D740" s="5"/>
      <c r="E740" s="5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5"/>
      <c r="B741" s="5"/>
      <c r="C741" s="5"/>
      <c r="D741" s="5"/>
      <c r="E741" s="5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5"/>
      <c r="B742" s="5"/>
      <c r="C742" s="5"/>
      <c r="D742" s="5"/>
      <c r="E742" s="5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5"/>
      <c r="B743" s="5"/>
      <c r="C743" s="5"/>
      <c r="D743" s="5"/>
      <c r="E743" s="5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5"/>
      <c r="B744" s="5"/>
      <c r="C744" s="5"/>
      <c r="D744" s="5"/>
      <c r="E744" s="5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5"/>
      <c r="B745" s="5"/>
      <c r="C745" s="5"/>
      <c r="D745" s="5"/>
      <c r="E745" s="5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5"/>
      <c r="B746" s="5"/>
      <c r="C746" s="5"/>
      <c r="D746" s="5"/>
      <c r="E746" s="5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5"/>
      <c r="B747" s="5"/>
      <c r="C747" s="5"/>
      <c r="D747" s="5"/>
      <c r="E747" s="5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5"/>
      <c r="B748" s="5"/>
      <c r="C748" s="5"/>
      <c r="D748" s="5"/>
      <c r="E748" s="5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5"/>
      <c r="B749" s="5"/>
      <c r="C749" s="5"/>
      <c r="D749" s="5"/>
      <c r="E749" s="5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5"/>
      <c r="B750" s="5"/>
      <c r="C750" s="5"/>
      <c r="D750" s="5"/>
      <c r="E750" s="5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5"/>
      <c r="B751" s="5"/>
      <c r="C751" s="5"/>
      <c r="D751" s="5"/>
      <c r="E751" s="5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5"/>
      <c r="B752" s="5"/>
      <c r="C752" s="5"/>
      <c r="D752" s="5"/>
      <c r="E752" s="5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5"/>
      <c r="B753" s="5"/>
      <c r="C753" s="5"/>
      <c r="D753" s="5"/>
      <c r="E753" s="5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5"/>
      <c r="B754" s="5"/>
      <c r="C754" s="5"/>
      <c r="D754" s="5"/>
      <c r="E754" s="5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5"/>
      <c r="B755" s="5"/>
      <c r="C755" s="5"/>
      <c r="D755" s="5"/>
      <c r="E755" s="5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5"/>
      <c r="B756" s="5"/>
      <c r="C756" s="5"/>
      <c r="D756" s="5"/>
      <c r="E756" s="5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5"/>
      <c r="B757" s="5"/>
      <c r="C757" s="5"/>
      <c r="D757" s="5"/>
      <c r="E757" s="5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5"/>
      <c r="B758" s="5"/>
      <c r="C758" s="5"/>
      <c r="D758" s="5"/>
      <c r="E758" s="5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5"/>
      <c r="B759" s="5"/>
      <c r="C759" s="5"/>
      <c r="D759" s="5"/>
      <c r="E759" s="5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5"/>
      <c r="B760" s="5"/>
      <c r="C760" s="5"/>
      <c r="D760" s="5"/>
      <c r="E760" s="5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5"/>
      <c r="B761" s="5"/>
      <c r="C761" s="5"/>
      <c r="D761" s="5"/>
      <c r="E761" s="5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5"/>
      <c r="B762" s="5"/>
      <c r="C762" s="5"/>
      <c r="D762" s="5"/>
      <c r="E762" s="5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5"/>
      <c r="B763" s="5"/>
      <c r="C763" s="5"/>
      <c r="D763" s="5"/>
      <c r="E763" s="5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5"/>
      <c r="B764" s="5"/>
      <c r="C764" s="5"/>
      <c r="D764" s="5"/>
      <c r="E764" s="5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5"/>
      <c r="B765" s="5"/>
      <c r="C765" s="5"/>
      <c r="D765" s="5"/>
      <c r="E765" s="5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5"/>
      <c r="B766" s="5"/>
      <c r="C766" s="5"/>
      <c r="D766" s="5"/>
      <c r="E766" s="5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5"/>
      <c r="B767" s="5"/>
      <c r="C767" s="5"/>
      <c r="D767" s="5"/>
      <c r="E767" s="5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5"/>
      <c r="B768" s="5"/>
      <c r="C768" s="5"/>
      <c r="D768" s="5"/>
      <c r="E768" s="5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5"/>
      <c r="B769" s="5"/>
      <c r="C769" s="5"/>
      <c r="D769" s="5"/>
      <c r="E769" s="5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5"/>
      <c r="B770" s="5"/>
      <c r="C770" s="5"/>
      <c r="D770" s="5"/>
      <c r="E770" s="5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5"/>
      <c r="B771" s="5"/>
      <c r="C771" s="5"/>
      <c r="D771" s="5"/>
      <c r="E771" s="5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5"/>
      <c r="B772" s="5"/>
      <c r="C772" s="5"/>
      <c r="D772" s="5"/>
      <c r="E772" s="5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5"/>
      <c r="B773" s="5"/>
      <c r="C773" s="5"/>
      <c r="D773" s="5"/>
      <c r="E773" s="5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5"/>
      <c r="B774" s="5"/>
      <c r="C774" s="5"/>
      <c r="D774" s="5"/>
      <c r="E774" s="5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5"/>
      <c r="B775" s="5"/>
      <c r="C775" s="5"/>
      <c r="D775" s="5"/>
      <c r="E775" s="5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5"/>
      <c r="B776" s="5"/>
      <c r="C776" s="5"/>
      <c r="D776" s="5"/>
      <c r="E776" s="5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5"/>
      <c r="B777" s="5"/>
      <c r="C777" s="5"/>
      <c r="D777" s="5"/>
      <c r="E777" s="5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5"/>
      <c r="B778" s="5"/>
      <c r="C778" s="5"/>
      <c r="D778" s="5"/>
      <c r="E778" s="5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5"/>
      <c r="B779" s="5"/>
      <c r="C779" s="5"/>
      <c r="D779" s="5"/>
      <c r="E779" s="5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5"/>
      <c r="B780" s="5"/>
      <c r="C780" s="5"/>
      <c r="D780" s="5"/>
      <c r="E780" s="5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5"/>
      <c r="B781" s="5"/>
      <c r="C781" s="5"/>
      <c r="D781" s="5"/>
      <c r="E781" s="5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5"/>
      <c r="B782" s="5"/>
      <c r="C782" s="5"/>
      <c r="D782" s="5"/>
      <c r="E782" s="5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5"/>
      <c r="B783" s="5"/>
      <c r="C783" s="5"/>
      <c r="D783" s="5"/>
      <c r="E783" s="5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5"/>
      <c r="B784" s="5"/>
      <c r="C784" s="5"/>
      <c r="D784" s="5"/>
      <c r="E784" s="5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5"/>
      <c r="B785" s="5"/>
      <c r="C785" s="5"/>
      <c r="D785" s="5"/>
      <c r="E785" s="5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5"/>
      <c r="B786" s="5"/>
      <c r="C786" s="5"/>
      <c r="D786" s="5"/>
      <c r="E786" s="5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5"/>
      <c r="B787" s="5"/>
      <c r="C787" s="5"/>
      <c r="D787" s="5"/>
      <c r="E787" s="5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5"/>
      <c r="B788" s="5"/>
      <c r="C788" s="5"/>
      <c r="D788" s="5"/>
      <c r="E788" s="5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5"/>
      <c r="B789" s="5"/>
      <c r="C789" s="5"/>
      <c r="D789" s="5"/>
      <c r="E789" s="5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5"/>
      <c r="B790" s="5"/>
      <c r="C790" s="5"/>
      <c r="D790" s="5"/>
      <c r="E790" s="5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5"/>
      <c r="B791" s="5"/>
      <c r="C791" s="5"/>
      <c r="D791" s="5"/>
      <c r="E791" s="5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5"/>
      <c r="B792" s="5"/>
      <c r="C792" s="5"/>
      <c r="D792" s="5"/>
      <c r="E792" s="5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5"/>
      <c r="B793" s="5"/>
      <c r="C793" s="5"/>
      <c r="D793" s="5"/>
      <c r="E793" s="5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5"/>
      <c r="B794" s="5"/>
      <c r="C794" s="5"/>
      <c r="D794" s="5"/>
      <c r="E794" s="5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5"/>
      <c r="B795" s="5"/>
      <c r="C795" s="5"/>
      <c r="D795" s="5"/>
      <c r="E795" s="5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5"/>
      <c r="B796" s="5"/>
      <c r="C796" s="5"/>
      <c r="D796" s="5"/>
      <c r="E796" s="5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5"/>
      <c r="B797" s="5"/>
      <c r="C797" s="5"/>
      <c r="D797" s="5"/>
      <c r="E797" s="5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5"/>
      <c r="B798" s="5"/>
      <c r="C798" s="5"/>
      <c r="D798" s="5"/>
      <c r="E798" s="5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5"/>
      <c r="B799" s="5"/>
      <c r="C799" s="5"/>
      <c r="D799" s="5"/>
      <c r="E799" s="5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5"/>
      <c r="B800" s="5"/>
      <c r="C800" s="5"/>
      <c r="D800" s="5"/>
      <c r="E800" s="5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5"/>
      <c r="B801" s="5"/>
      <c r="C801" s="5"/>
      <c r="D801" s="5"/>
      <c r="E801" s="5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5"/>
      <c r="B802" s="5"/>
      <c r="C802" s="5"/>
      <c r="D802" s="5"/>
      <c r="E802" s="5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5"/>
      <c r="B803" s="5"/>
      <c r="C803" s="5"/>
      <c r="D803" s="5"/>
      <c r="E803" s="5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5"/>
      <c r="B804" s="5"/>
      <c r="C804" s="5"/>
      <c r="D804" s="5"/>
      <c r="E804" s="5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5"/>
      <c r="B805" s="5"/>
      <c r="C805" s="5"/>
      <c r="D805" s="5"/>
      <c r="E805" s="5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5"/>
      <c r="B806" s="5"/>
      <c r="C806" s="5"/>
      <c r="D806" s="5"/>
      <c r="E806" s="5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5"/>
      <c r="B807" s="5"/>
      <c r="C807" s="5"/>
      <c r="D807" s="5"/>
      <c r="E807" s="5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5"/>
      <c r="B808" s="5"/>
      <c r="C808" s="5"/>
      <c r="D808" s="5"/>
      <c r="E808" s="5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5"/>
      <c r="B809" s="5"/>
      <c r="C809" s="5"/>
      <c r="D809" s="5"/>
      <c r="E809" s="5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5"/>
      <c r="B810" s="5"/>
      <c r="C810" s="5"/>
      <c r="D810" s="5"/>
      <c r="E810" s="5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5"/>
      <c r="B811" s="5"/>
      <c r="C811" s="5"/>
      <c r="D811" s="5"/>
      <c r="E811" s="5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5"/>
      <c r="B812" s="5"/>
      <c r="C812" s="5"/>
      <c r="D812" s="5"/>
      <c r="E812" s="5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5"/>
      <c r="B813" s="5"/>
      <c r="C813" s="5"/>
      <c r="D813" s="5"/>
      <c r="E813" s="5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5"/>
      <c r="B814" s="5"/>
      <c r="C814" s="5"/>
      <c r="D814" s="5"/>
      <c r="E814" s="5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5"/>
      <c r="B815" s="5"/>
      <c r="C815" s="5"/>
      <c r="D815" s="5"/>
      <c r="E815" s="5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5"/>
      <c r="B816" s="5"/>
      <c r="C816" s="5"/>
      <c r="D816" s="5"/>
      <c r="E816" s="5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5"/>
      <c r="B817" s="5"/>
      <c r="C817" s="5"/>
      <c r="D817" s="5"/>
      <c r="E817" s="5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5"/>
      <c r="B818" s="5"/>
      <c r="C818" s="5"/>
      <c r="D818" s="5"/>
      <c r="E818" s="5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5"/>
      <c r="B819" s="5"/>
      <c r="C819" s="5"/>
      <c r="D819" s="5"/>
      <c r="E819" s="5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5"/>
      <c r="B820" s="5"/>
      <c r="C820" s="5"/>
      <c r="D820" s="5"/>
      <c r="E820" s="5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5"/>
      <c r="B821" s="5"/>
      <c r="C821" s="5"/>
      <c r="D821" s="5"/>
      <c r="E821" s="5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5"/>
      <c r="B822" s="5"/>
      <c r="C822" s="5"/>
      <c r="D822" s="5"/>
      <c r="E822" s="5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5"/>
      <c r="B823" s="5"/>
      <c r="C823" s="5"/>
      <c r="D823" s="5"/>
      <c r="E823" s="5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5"/>
      <c r="B824" s="5"/>
      <c r="C824" s="5"/>
      <c r="D824" s="5"/>
      <c r="E824" s="5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5"/>
      <c r="B825" s="5"/>
      <c r="C825" s="5"/>
      <c r="D825" s="5"/>
      <c r="E825" s="5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5"/>
      <c r="B826" s="5"/>
      <c r="C826" s="5"/>
      <c r="D826" s="5"/>
      <c r="E826" s="5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5"/>
      <c r="B827" s="5"/>
      <c r="C827" s="5"/>
      <c r="D827" s="5"/>
      <c r="E827" s="5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5"/>
      <c r="B828" s="5"/>
      <c r="C828" s="5"/>
      <c r="D828" s="5"/>
      <c r="E828" s="5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5"/>
      <c r="B829" s="5"/>
      <c r="C829" s="5"/>
      <c r="D829" s="5"/>
      <c r="E829" s="5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5"/>
      <c r="B830" s="5"/>
      <c r="C830" s="5"/>
      <c r="D830" s="5"/>
      <c r="E830" s="5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5"/>
      <c r="B831" s="5"/>
      <c r="C831" s="5"/>
      <c r="D831" s="5"/>
      <c r="E831" s="5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5"/>
      <c r="B832" s="5"/>
      <c r="C832" s="5"/>
      <c r="D832" s="5"/>
      <c r="E832" s="5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5"/>
      <c r="B833" s="5"/>
      <c r="C833" s="5"/>
      <c r="D833" s="5"/>
      <c r="E833" s="5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5"/>
      <c r="B834" s="5"/>
      <c r="C834" s="5"/>
      <c r="D834" s="5"/>
      <c r="E834" s="5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5"/>
      <c r="B835" s="5"/>
      <c r="C835" s="5"/>
      <c r="D835" s="5"/>
      <c r="E835" s="5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5"/>
      <c r="B836" s="5"/>
      <c r="C836" s="5"/>
      <c r="D836" s="5"/>
      <c r="E836" s="5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5"/>
      <c r="B837" s="5"/>
      <c r="C837" s="5"/>
      <c r="D837" s="5"/>
      <c r="E837" s="5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5"/>
      <c r="B838" s="5"/>
      <c r="C838" s="5"/>
      <c r="D838" s="5"/>
      <c r="E838" s="5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5"/>
      <c r="B839" s="5"/>
      <c r="C839" s="5"/>
      <c r="D839" s="5"/>
      <c r="E839" s="5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5"/>
      <c r="B840" s="5"/>
      <c r="C840" s="5"/>
      <c r="D840" s="5"/>
      <c r="E840" s="5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5"/>
      <c r="B841" s="5"/>
      <c r="C841" s="5"/>
      <c r="D841" s="5"/>
      <c r="E841" s="5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5"/>
      <c r="B842" s="5"/>
      <c r="C842" s="5"/>
      <c r="D842" s="5"/>
      <c r="E842" s="5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5"/>
      <c r="B843" s="5"/>
      <c r="C843" s="5"/>
      <c r="D843" s="5"/>
      <c r="E843" s="5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5"/>
      <c r="B844" s="5"/>
      <c r="C844" s="5"/>
      <c r="D844" s="5"/>
      <c r="E844" s="5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5"/>
      <c r="B845" s="5"/>
      <c r="C845" s="5"/>
      <c r="D845" s="5"/>
      <c r="E845" s="5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5"/>
      <c r="B846" s="5"/>
      <c r="C846" s="5"/>
      <c r="D846" s="5"/>
      <c r="E846" s="5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5"/>
      <c r="B847" s="5"/>
      <c r="C847" s="5"/>
      <c r="D847" s="5"/>
      <c r="E847" s="5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5"/>
      <c r="B848" s="5"/>
      <c r="C848" s="5"/>
      <c r="D848" s="5"/>
      <c r="E848" s="5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5"/>
      <c r="B849" s="5"/>
      <c r="C849" s="5"/>
      <c r="D849" s="5"/>
      <c r="E849" s="5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5"/>
      <c r="B850" s="5"/>
      <c r="C850" s="5"/>
      <c r="D850" s="5"/>
      <c r="E850" s="5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5"/>
      <c r="B851" s="5"/>
      <c r="C851" s="5"/>
      <c r="D851" s="5"/>
      <c r="E851" s="5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5"/>
      <c r="B852" s="5"/>
      <c r="C852" s="5"/>
      <c r="D852" s="5"/>
      <c r="E852" s="5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5"/>
      <c r="B853" s="5"/>
      <c r="C853" s="5"/>
      <c r="D853" s="5"/>
      <c r="E853" s="5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5"/>
      <c r="B854" s="5"/>
      <c r="C854" s="5"/>
      <c r="D854" s="5"/>
      <c r="E854" s="5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5"/>
      <c r="B855" s="5"/>
      <c r="C855" s="5"/>
      <c r="D855" s="5"/>
      <c r="E855" s="5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5"/>
      <c r="B856" s="5"/>
      <c r="C856" s="5"/>
      <c r="D856" s="5"/>
      <c r="E856" s="5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5"/>
      <c r="B857" s="5"/>
      <c r="C857" s="5"/>
      <c r="D857" s="5"/>
      <c r="E857" s="5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5"/>
      <c r="B858" s="5"/>
      <c r="C858" s="5"/>
      <c r="D858" s="5"/>
      <c r="E858" s="5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5"/>
      <c r="B859" s="5"/>
      <c r="C859" s="5"/>
      <c r="D859" s="5"/>
      <c r="E859" s="5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5"/>
      <c r="B860" s="5"/>
      <c r="C860" s="5"/>
      <c r="D860" s="5"/>
      <c r="E860" s="5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5"/>
      <c r="B861" s="5"/>
      <c r="C861" s="5"/>
      <c r="D861" s="5"/>
      <c r="E861" s="5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5"/>
      <c r="B862" s="5"/>
      <c r="C862" s="5"/>
      <c r="D862" s="5"/>
      <c r="E862" s="5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5"/>
      <c r="B863" s="5"/>
      <c r="C863" s="5"/>
      <c r="D863" s="5"/>
      <c r="E863" s="5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5"/>
      <c r="B864" s="5"/>
      <c r="C864" s="5"/>
      <c r="D864" s="5"/>
      <c r="E864" s="5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5"/>
      <c r="B865" s="5"/>
      <c r="C865" s="5"/>
      <c r="D865" s="5"/>
      <c r="E865" s="5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5"/>
      <c r="B866" s="5"/>
      <c r="C866" s="5"/>
      <c r="D866" s="5"/>
      <c r="E866" s="5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5"/>
      <c r="B867" s="5"/>
      <c r="C867" s="5"/>
      <c r="D867" s="5"/>
      <c r="E867" s="5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5"/>
      <c r="B868" s="5"/>
      <c r="C868" s="5"/>
      <c r="D868" s="5"/>
      <c r="E868" s="5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5"/>
      <c r="B869" s="5"/>
      <c r="C869" s="5"/>
      <c r="D869" s="5"/>
      <c r="E869" s="5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5"/>
      <c r="B870" s="5"/>
      <c r="C870" s="5"/>
      <c r="D870" s="5"/>
      <c r="E870" s="5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5"/>
      <c r="B871" s="5"/>
      <c r="C871" s="5"/>
      <c r="D871" s="5"/>
      <c r="E871" s="5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5"/>
      <c r="B872" s="5"/>
      <c r="C872" s="5"/>
      <c r="D872" s="5"/>
      <c r="E872" s="5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5"/>
      <c r="B873" s="5"/>
      <c r="C873" s="5"/>
      <c r="D873" s="5"/>
      <c r="E873" s="5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5"/>
      <c r="B874" s="5"/>
      <c r="C874" s="5"/>
      <c r="D874" s="5"/>
      <c r="E874" s="5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5"/>
      <c r="B875" s="5"/>
      <c r="C875" s="5"/>
      <c r="D875" s="5"/>
      <c r="E875" s="5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5"/>
      <c r="B876" s="5"/>
      <c r="C876" s="5"/>
      <c r="D876" s="5"/>
      <c r="E876" s="5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5"/>
      <c r="B877" s="5"/>
      <c r="C877" s="5"/>
      <c r="D877" s="5"/>
      <c r="E877" s="5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5"/>
      <c r="B878" s="5"/>
      <c r="C878" s="5"/>
      <c r="D878" s="5"/>
      <c r="E878" s="5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5"/>
      <c r="B879" s="5"/>
      <c r="C879" s="5"/>
      <c r="D879" s="5"/>
      <c r="E879" s="5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5"/>
      <c r="B880" s="5"/>
      <c r="C880" s="5"/>
      <c r="D880" s="5"/>
      <c r="E880" s="5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5"/>
      <c r="B881" s="5"/>
      <c r="C881" s="5"/>
      <c r="D881" s="5"/>
      <c r="E881" s="5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5"/>
      <c r="B882" s="5"/>
      <c r="C882" s="5"/>
      <c r="D882" s="5"/>
      <c r="E882" s="5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5"/>
      <c r="B883" s="5"/>
      <c r="C883" s="5"/>
      <c r="D883" s="5"/>
      <c r="E883" s="5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5"/>
      <c r="B884" s="5"/>
      <c r="C884" s="5"/>
      <c r="D884" s="5"/>
      <c r="E884" s="5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5"/>
      <c r="B885" s="5"/>
      <c r="C885" s="5"/>
      <c r="D885" s="5"/>
      <c r="E885" s="5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5"/>
      <c r="B886" s="5"/>
      <c r="C886" s="5"/>
      <c r="D886" s="5"/>
      <c r="E886" s="5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5"/>
      <c r="B887" s="5"/>
      <c r="C887" s="5"/>
      <c r="D887" s="5"/>
      <c r="E887" s="5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5"/>
      <c r="B888" s="5"/>
      <c r="C888" s="5"/>
      <c r="D888" s="5"/>
      <c r="E888" s="5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5"/>
      <c r="B889" s="5"/>
      <c r="C889" s="5"/>
      <c r="D889" s="5"/>
      <c r="E889" s="5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5"/>
      <c r="B890" s="5"/>
      <c r="C890" s="5"/>
      <c r="D890" s="5"/>
      <c r="E890" s="5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5"/>
      <c r="B891" s="5"/>
      <c r="C891" s="5"/>
      <c r="D891" s="5"/>
      <c r="E891" s="5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5"/>
      <c r="B892" s="5"/>
      <c r="C892" s="5"/>
      <c r="D892" s="5"/>
      <c r="E892" s="5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5"/>
      <c r="B893" s="5"/>
      <c r="C893" s="5"/>
      <c r="D893" s="5"/>
      <c r="E893" s="5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5"/>
      <c r="B894" s="5"/>
      <c r="C894" s="5"/>
      <c r="D894" s="5"/>
      <c r="E894" s="5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5"/>
      <c r="B895" s="5"/>
      <c r="C895" s="5"/>
      <c r="D895" s="5"/>
      <c r="E895" s="5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5"/>
      <c r="B896" s="5"/>
      <c r="C896" s="5"/>
      <c r="D896" s="5"/>
      <c r="E896" s="5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5"/>
      <c r="B897" s="5"/>
      <c r="C897" s="5"/>
      <c r="D897" s="5"/>
      <c r="E897" s="5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5"/>
      <c r="B898" s="5"/>
      <c r="C898" s="5"/>
      <c r="D898" s="5"/>
      <c r="E898" s="5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5"/>
      <c r="B899" s="5"/>
      <c r="C899" s="5"/>
      <c r="D899" s="5"/>
      <c r="E899" s="5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5"/>
      <c r="B900" s="5"/>
      <c r="C900" s="5"/>
      <c r="D900" s="5"/>
      <c r="E900" s="5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5"/>
      <c r="B901" s="5"/>
      <c r="C901" s="5"/>
      <c r="D901" s="5"/>
      <c r="E901" s="5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5"/>
      <c r="B902" s="5"/>
      <c r="C902" s="5"/>
      <c r="D902" s="5"/>
      <c r="E902" s="5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5"/>
      <c r="B903" s="5"/>
      <c r="C903" s="5"/>
      <c r="D903" s="5"/>
      <c r="E903" s="5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5"/>
      <c r="B904" s="5"/>
      <c r="C904" s="5"/>
      <c r="D904" s="5"/>
      <c r="E904" s="5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5"/>
      <c r="B905" s="5"/>
      <c r="C905" s="5"/>
      <c r="D905" s="5"/>
      <c r="E905" s="5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5"/>
      <c r="B906" s="5"/>
      <c r="C906" s="5"/>
      <c r="D906" s="5"/>
      <c r="E906" s="5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5"/>
      <c r="B907" s="5"/>
      <c r="C907" s="5"/>
      <c r="D907" s="5"/>
      <c r="E907" s="5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5"/>
      <c r="B908" s="5"/>
      <c r="C908" s="5"/>
      <c r="D908" s="5"/>
      <c r="E908" s="5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5"/>
      <c r="B909" s="5"/>
      <c r="C909" s="5"/>
      <c r="D909" s="5"/>
      <c r="E909" s="5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5"/>
      <c r="B910" s="5"/>
      <c r="C910" s="5"/>
      <c r="D910" s="5"/>
      <c r="E910" s="5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5"/>
      <c r="B911" s="5"/>
      <c r="C911" s="5"/>
      <c r="D911" s="5"/>
      <c r="E911" s="5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5"/>
      <c r="B912" s="5"/>
      <c r="C912" s="5"/>
      <c r="D912" s="5"/>
      <c r="E912" s="5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5"/>
      <c r="B913" s="5"/>
      <c r="C913" s="5"/>
      <c r="D913" s="5"/>
      <c r="E913" s="5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5"/>
      <c r="B914" s="5"/>
      <c r="C914" s="5"/>
      <c r="D914" s="5"/>
      <c r="E914" s="5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5"/>
      <c r="B915" s="5"/>
      <c r="C915" s="5"/>
      <c r="D915" s="5"/>
      <c r="E915" s="5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5"/>
      <c r="B916" s="5"/>
      <c r="C916" s="5"/>
      <c r="D916" s="5"/>
      <c r="E916" s="5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5"/>
      <c r="B917" s="5"/>
      <c r="C917" s="5"/>
      <c r="D917" s="5"/>
      <c r="E917" s="5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5"/>
      <c r="B918" s="5"/>
      <c r="C918" s="5"/>
      <c r="D918" s="5"/>
      <c r="E918" s="5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5"/>
      <c r="B919" s="5"/>
      <c r="C919" s="5"/>
      <c r="D919" s="5"/>
      <c r="E919" s="5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5"/>
      <c r="B920" s="5"/>
      <c r="C920" s="5"/>
      <c r="D920" s="5"/>
      <c r="E920" s="5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5"/>
      <c r="B921" s="5"/>
      <c r="C921" s="5"/>
      <c r="D921" s="5"/>
      <c r="E921" s="5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5"/>
      <c r="B922" s="5"/>
      <c r="C922" s="5"/>
      <c r="D922" s="5"/>
      <c r="E922" s="5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5"/>
      <c r="B923" s="5"/>
      <c r="C923" s="5"/>
      <c r="D923" s="5"/>
      <c r="E923" s="5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5"/>
      <c r="B924" s="5"/>
      <c r="C924" s="5"/>
      <c r="D924" s="5"/>
      <c r="E924" s="5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5"/>
      <c r="B925" s="5"/>
      <c r="C925" s="5"/>
      <c r="D925" s="5"/>
      <c r="E925" s="5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5"/>
      <c r="B926" s="5"/>
      <c r="C926" s="5"/>
      <c r="D926" s="5"/>
      <c r="E926" s="5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5"/>
      <c r="B927" s="5"/>
      <c r="C927" s="5"/>
      <c r="D927" s="5"/>
      <c r="E927" s="5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5"/>
      <c r="B928" s="5"/>
      <c r="C928" s="5"/>
      <c r="D928" s="5"/>
      <c r="E928" s="5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5"/>
      <c r="B929" s="5"/>
      <c r="C929" s="5"/>
      <c r="D929" s="5"/>
      <c r="E929" s="5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5"/>
      <c r="B930" s="5"/>
      <c r="C930" s="5"/>
      <c r="D930" s="5"/>
      <c r="E930" s="5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5"/>
      <c r="B931" s="5"/>
      <c r="C931" s="5"/>
      <c r="D931" s="5"/>
      <c r="E931" s="5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5"/>
      <c r="B932" s="5"/>
      <c r="C932" s="5"/>
      <c r="D932" s="5"/>
      <c r="E932" s="5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5"/>
      <c r="B933" s="5"/>
      <c r="C933" s="5"/>
      <c r="D933" s="5"/>
      <c r="E933" s="5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5"/>
      <c r="B934" s="5"/>
      <c r="C934" s="5"/>
      <c r="D934" s="5"/>
      <c r="E934" s="5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5"/>
      <c r="B935" s="5"/>
      <c r="C935" s="5"/>
      <c r="D935" s="5"/>
      <c r="E935" s="5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5"/>
      <c r="B936" s="5"/>
      <c r="C936" s="5"/>
      <c r="D936" s="5"/>
      <c r="E936" s="5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5"/>
      <c r="B937" s="5"/>
      <c r="C937" s="5"/>
      <c r="D937" s="5"/>
      <c r="E937" s="5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5"/>
      <c r="B938" s="5"/>
      <c r="C938" s="5"/>
      <c r="D938" s="5"/>
      <c r="E938" s="5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5"/>
      <c r="B939" s="5"/>
      <c r="C939" s="5"/>
      <c r="D939" s="5"/>
      <c r="E939" s="5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5"/>
      <c r="B940" s="5"/>
      <c r="C940" s="5"/>
      <c r="D940" s="5"/>
      <c r="E940" s="5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5"/>
      <c r="B941" s="5"/>
      <c r="C941" s="5"/>
      <c r="D941" s="5"/>
      <c r="E941" s="5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5"/>
      <c r="B942" s="5"/>
      <c r="C942" s="5"/>
      <c r="D942" s="5"/>
      <c r="E942" s="5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5"/>
      <c r="B943" s="5"/>
      <c r="C943" s="5"/>
      <c r="D943" s="5"/>
      <c r="E943" s="5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5"/>
      <c r="B944" s="5"/>
      <c r="C944" s="5"/>
      <c r="D944" s="5"/>
      <c r="E944" s="5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5"/>
      <c r="B945" s="5"/>
      <c r="C945" s="5"/>
      <c r="D945" s="5"/>
      <c r="E945" s="5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5"/>
      <c r="B946" s="5"/>
      <c r="C946" s="5"/>
      <c r="D946" s="5"/>
      <c r="E946" s="5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5"/>
      <c r="B947" s="5"/>
      <c r="C947" s="5"/>
      <c r="D947" s="5"/>
      <c r="E947" s="5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5"/>
      <c r="B948" s="5"/>
      <c r="C948" s="5"/>
      <c r="D948" s="5"/>
      <c r="E948" s="5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5"/>
      <c r="B949" s="5"/>
      <c r="C949" s="5"/>
      <c r="D949" s="5"/>
      <c r="E949" s="5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5"/>
      <c r="B950" s="5"/>
      <c r="C950" s="5"/>
      <c r="D950" s="5"/>
      <c r="E950" s="5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5"/>
      <c r="B951" s="5"/>
      <c r="C951" s="5"/>
      <c r="D951" s="5"/>
      <c r="E951" s="5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5"/>
      <c r="B952" s="5"/>
      <c r="C952" s="5"/>
      <c r="D952" s="5"/>
      <c r="E952" s="5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5"/>
      <c r="B953" s="5"/>
      <c r="C953" s="5"/>
      <c r="D953" s="5"/>
      <c r="E953" s="5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5"/>
      <c r="B954" s="5"/>
      <c r="C954" s="5"/>
      <c r="D954" s="5"/>
      <c r="E954" s="5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5"/>
      <c r="B955" s="5"/>
      <c r="C955" s="5"/>
      <c r="D955" s="5"/>
      <c r="E955" s="5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5"/>
      <c r="B956" s="5"/>
      <c r="C956" s="5"/>
      <c r="D956" s="5"/>
      <c r="E956" s="5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5"/>
      <c r="B957" s="5"/>
      <c r="C957" s="5"/>
      <c r="D957" s="5"/>
      <c r="E957" s="5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5"/>
      <c r="B958" s="5"/>
      <c r="C958" s="5"/>
      <c r="D958" s="5"/>
      <c r="E958" s="5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5"/>
      <c r="B959" s="5"/>
      <c r="C959" s="5"/>
      <c r="D959" s="5"/>
      <c r="E959" s="5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5"/>
      <c r="B960" s="5"/>
      <c r="C960" s="5"/>
      <c r="D960" s="5"/>
      <c r="E960" s="5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5"/>
      <c r="B961" s="5"/>
      <c r="C961" s="5"/>
      <c r="D961" s="5"/>
      <c r="E961" s="5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5"/>
      <c r="B962" s="5"/>
      <c r="C962" s="5"/>
      <c r="D962" s="5"/>
      <c r="E962" s="5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5"/>
      <c r="B963" s="5"/>
      <c r="C963" s="5"/>
      <c r="D963" s="5"/>
      <c r="E963" s="5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5"/>
      <c r="B964" s="5"/>
      <c r="C964" s="5"/>
      <c r="D964" s="5"/>
      <c r="E964" s="5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5"/>
      <c r="B965" s="5"/>
      <c r="C965" s="5"/>
      <c r="D965" s="5"/>
      <c r="E965" s="5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5"/>
      <c r="B966" s="5"/>
      <c r="C966" s="5"/>
      <c r="D966" s="5"/>
      <c r="E966" s="5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5"/>
      <c r="B967" s="5"/>
      <c r="C967" s="5"/>
      <c r="D967" s="5"/>
      <c r="E967" s="5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5"/>
      <c r="B968" s="5"/>
      <c r="C968" s="5"/>
      <c r="D968" s="5"/>
      <c r="E968" s="5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5"/>
      <c r="B969" s="5"/>
      <c r="C969" s="5"/>
      <c r="D969" s="5"/>
      <c r="E969" s="5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5"/>
      <c r="B970" s="5"/>
      <c r="C970" s="5"/>
      <c r="D970" s="5"/>
      <c r="E970" s="5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5"/>
      <c r="B971" s="5"/>
      <c r="C971" s="5"/>
      <c r="D971" s="5"/>
      <c r="E971" s="5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5"/>
      <c r="B972" s="5"/>
      <c r="C972" s="5"/>
      <c r="D972" s="5"/>
      <c r="E972" s="5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5"/>
      <c r="B973" s="5"/>
      <c r="C973" s="5"/>
      <c r="D973" s="5"/>
      <c r="E973" s="5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5"/>
      <c r="B974" s="5"/>
      <c r="C974" s="5"/>
      <c r="D974" s="5"/>
      <c r="E974" s="5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5"/>
      <c r="B975" s="5"/>
      <c r="C975" s="5"/>
      <c r="D975" s="5"/>
      <c r="E975" s="5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5"/>
      <c r="B976" s="5"/>
      <c r="C976" s="5"/>
      <c r="D976" s="5"/>
      <c r="E976" s="5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5"/>
      <c r="B977" s="5"/>
      <c r="C977" s="5"/>
      <c r="D977" s="5"/>
      <c r="E977" s="5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5"/>
      <c r="B978" s="5"/>
      <c r="C978" s="5"/>
      <c r="D978" s="5"/>
      <c r="E978" s="5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5"/>
      <c r="B979" s="5"/>
      <c r="C979" s="5"/>
      <c r="D979" s="5"/>
      <c r="E979" s="5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5"/>
      <c r="B980" s="5"/>
      <c r="C980" s="5"/>
      <c r="D980" s="5"/>
      <c r="E980" s="5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5"/>
      <c r="B981" s="5"/>
      <c r="C981" s="5"/>
      <c r="D981" s="5"/>
      <c r="E981" s="5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5"/>
      <c r="B982" s="5"/>
      <c r="C982" s="5"/>
      <c r="D982" s="5"/>
      <c r="E982" s="5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5"/>
      <c r="B983" s="5"/>
      <c r="C983" s="5"/>
      <c r="D983" s="5"/>
      <c r="E983" s="5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5"/>
      <c r="B984" s="5"/>
      <c r="C984" s="5"/>
      <c r="D984" s="5"/>
      <c r="E984" s="5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5"/>
      <c r="B985" s="5"/>
      <c r="C985" s="5"/>
      <c r="D985" s="5"/>
      <c r="E985" s="5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5"/>
      <c r="B986" s="5"/>
      <c r="C986" s="5"/>
      <c r="D986" s="5"/>
      <c r="E986" s="5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5"/>
      <c r="B987" s="5"/>
      <c r="C987" s="5"/>
      <c r="D987" s="5"/>
      <c r="E987" s="5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5"/>
      <c r="B988" s="5"/>
      <c r="C988" s="5"/>
      <c r="D988" s="5"/>
      <c r="E988" s="5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5"/>
      <c r="B989" s="5"/>
      <c r="C989" s="5"/>
      <c r="D989" s="5"/>
      <c r="E989" s="5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5"/>
      <c r="B990" s="5"/>
      <c r="C990" s="5"/>
      <c r="D990" s="5"/>
      <c r="E990" s="5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5"/>
      <c r="B991" s="5"/>
      <c r="C991" s="5"/>
      <c r="D991" s="5"/>
      <c r="E991" s="5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5"/>
      <c r="B992" s="5"/>
      <c r="C992" s="5"/>
      <c r="D992" s="5"/>
      <c r="E992" s="5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5"/>
      <c r="B993" s="5"/>
      <c r="C993" s="5"/>
      <c r="D993" s="5"/>
      <c r="E993" s="5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5"/>
      <c r="B994" s="5"/>
      <c r="C994" s="5"/>
      <c r="D994" s="5"/>
      <c r="E994" s="5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5"/>
      <c r="B995" s="5"/>
      <c r="C995" s="5"/>
      <c r="D995" s="5"/>
      <c r="E995" s="5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5"/>
      <c r="B996" s="5"/>
      <c r="C996" s="5"/>
      <c r="D996" s="5"/>
      <c r="E996" s="5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5"/>
      <c r="B997" s="5"/>
      <c r="C997" s="5"/>
      <c r="D997" s="5"/>
      <c r="E997" s="5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5"/>
      <c r="B998" s="5"/>
      <c r="C998" s="5"/>
      <c r="D998" s="5"/>
      <c r="E998" s="5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5"/>
      <c r="B999" s="5"/>
      <c r="C999" s="5"/>
      <c r="D999" s="5"/>
      <c r="E999" s="5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5"/>
      <c r="B1000" s="5"/>
      <c r="C1000" s="5"/>
      <c r="D1000" s="5"/>
      <c r="E1000" s="5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" width="13.57"/>
    <col customWidth="1" min="5" max="5" width="9.14"/>
    <col customWidth="1" min="6" max="9" width="10.29"/>
    <col customWidth="1" min="10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11" t="s">
        <v>222</v>
      </c>
      <c r="H1" s="11" t="s">
        <v>223</v>
      </c>
      <c r="I1" s="11" t="s">
        <v>224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4</v>
      </c>
      <c r="B2" s="2" t="s">
        <v>5</v>
      </c>
      <c r="C2" s="6">
        <v>2434.0</v>
      </c>
      <c r="D2" s="5" t="s">
        <v>6</v>
      </c>
      <c r="E2" s="2"/>
      <c r="F2" s="2"/>
      <c r="G2" s="6">
        <v>0.0</v>
      </c>
      <c r="H2" s="6">
        <v>1999.0</v>
      </c>
      <c r="I2" s="5" t="s">
        <v>225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8</v>
      </c>
      <c r="B3" s="2" t="s">
        <v>9</v>
      </c>
      <c r="C3" s="6">
        <v>8222.0</v>
      </c>
      <c r="D3" s="5" t="s">
        <v>10</v>
      </c>
      <c r="E3" s="2"/>
      <c r="F3" s="2"/>
      <c r="G3" s="6">
        <v>2000.0</v>
      </c>
      <c r="H3" s="6">
        <v>3999.0</v>
      </c>
      <c r="I3" s="5" t="s">
        <v>226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11</v>
      </c>
      <c r="B4" s="2" t="s">
        <v>12</v>
      </c>
      <c r="C4" s="6">
        <v>1016.0</v>
      </c>
      <c r="D4" s="5" t="s">
        <v>13</v>
      </c>
      <c r="E4" s="2"/>
      <c r="F4" s="2"/>
      <c r="G4" s="6">
        <v>4000.0</v>
      </c>
      <c r="H4" s="6">
        <v>5999.0</v>
      </c>
      <c r="I4" s="5" t="s">
        <v>227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14</v>
      </c>
      <c r="B5" s="2" t="s">
        <v>15</v>
      </c>
      <c r="C5" s="6">
        <v>6531.0</v>
      </c>
      <c r="D5" s="5" t="s">
        <v>13</v>
      </c>
      <c r="E5" s="2"/>
      <c r="F5" s="2"/>
      <c r="G5" s="6">
        <v>6000.0</v>
      </c>
      <c r="H5" s="6">
        <v>7999.0</v>
      </c>
      <c r="I5" s="5" t="s">
        <v>228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16</v>
      </c>
      <c r="B6" s="2" t="s">
        <v>17</v>
      </c>
      <c r="C6" s="6">
        <v>8521.0</v>
      </c>
      <c r="D6" s="5" t="s">
        <v>10</v>
      </c>
      <c r="E6" s="2"/>
      <c r="F6" s="2"/>
      <c r="G6" s="6">
        <v>8000.0</v>
      </c>
      <c r="H6" s="6">
        <v>9999.0</v>
      </c>
      <c r="I6" s="5" t="s">
        <v>229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18</v>
      </c>
      <c r="B7" s="2" t="s">
        <v>19</v>
      </c>
      <c r="C7" s="6">
        <v>2924.0</v>
      </c>
      <c r="D7" s="5" t="s">
        <v>10</v>
      </c>
      <c r="E7" s="2"/>
      <c r="F7" s="2"/>
      <c r="G7" s="6">
        <v>10000.0</v>
      </c>
      <c r="H7" s="6" t="s">
        <v>230</v>
      </c>
      <c r="I7" s="5" t="s">
        <v>231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20</v>
      </c>
      <c r="B8" s="2" t="s">
        <v>21</v>
      </c>
      <c r="C8" s="6">
        <v>1232.0</v>
      </c>
      <c r="D8" s="5" t="s">
        <v>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22</v>
      </c>
      <c r="B9" s="2" t="s">
        <v>23</v>
      </c>
      <c r="C9" s="6">
        <v>948.0</v>
      </c>
      <c r="D9" s="5" t="s">
        <v>6</v>
      </c>
      <c r="E9" s="2"/>
      <c r="F9" s="2"/>
      <c r="G9" s="12" t="s">
        <v>1</v>
      </c>
      <c r="H9" s="13" t="s">
        <v>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24</v>
      </c>
      <c r="B10" s="2" t="s">
        <v>25</v>
      </c>
      <c r="C10" s="6">
        <v>1750.0</v>
      </c>
      <c r="D10" s="5" t="s">
        <v>10</v>
      </c>
      <c r="E10" s="2"/>
      <c r="F10" s="2"/>
      <c r="G10" s="12" t="s">
        <v>2</v>
      </c>
      <c r="H10" s="6">
        <f t="array" ref="H10">XLOOKUP(H9,B:B,C:C)</f>
        <v>2434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 t="s">
        <v>26</v>
      </c>
      <c r="B11" s="2" t="s">
        <v>27</v>
      </c>
      <c r="C11" s="6">
        <v>7918.0</v>
      </c>
      <c r="D11" s="5" t="s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 t="s">
        <v>28</v>
      </c>
      <c r="B12" s="2" t="s">
        <v>29</v>
      </c>
      <c r="C12" s="6">
        <v>1370.0</v>
      </c>
      <c r="D12" s="5" t="s">
        <v>6</v>
      </c>
      <c r="E12" s="2"/>
      <c r="F12" s="14">
        <v>-1.0</v>
      </c>
      <c r="G12" s="12" t="s">
        <v>224</v>
      </c>
      <c r="H12" s="2" t="str">
        <f t="array" ref="H12">XLOOKUP(H10,G2:G7,I2:I7,,-1)</f>
        <v>Nível B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30</v>
      </c>
      <c r="B13" s="2" t="s">
        <v>31</v>
      </c>
      <c r="C13" s="6">
        <v>9365.0</v>
      </c>
      <c r="D13" s="5" t="s">
        <v>13</v>
      </c>
      <c r="E13" s="2"/>
      <c r="F13" s="15">
        <v>1.0</v>
      </c>
      <c r="G13" s="12" t="s">
        <v>224</v>
      </c>
      <c r="H13" s="2" t="str">
        <f t="array" ref="H13">XLOOKUP(H10,H2:H7,I2:I7,,1)</f>
        <v>Nível B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 t="s">
        <v>32</v>
      </c>
      <c r="B14" s="2" t="s">
        <v>33</v>
      </c>
      <c r="C14" s="6">
        <v>6228.0</v>
      </c>
      <c r="D14" s="5" t="s">
        <v>13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 t="s">
        <v>34</v>
      </c>
      <c r="B15" s="2" t="s">
        <v>35</v>
      </c>
      <c r="C15" s="6">
        <v>1248.0</v>
      </c>
      <c r="D15" s="5" t="s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 t="s">
        <v>36</v>
      </c>
      <c r="B16" s="2" t="s">
        <v>37</v>
      </c>
      <c r="C16" s="6">
        <v>5828.0</v>
      </c>
      <c r="D16" s="5" t="s">
        <v>13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38</v>
      </c>
      <c r="B17" s="2" t="s">
        <v>39</v>
      </c>
      <c r="C17" s="6">
        <v>5701.0</v>
      </c>
      <c r="D17" s="5" t="s">
        <v>10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 t="s">
        <v>40</v>
      </c>
      <c r="B18" s="2" t="s">
        <v>41</v>
      </c>
      <c r="C18" s="6">
        <v>7500.0</v>
      </c>
      <c r="D18" s="5" t="s">
        <v>13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 t="s">
        <v>42</v>
      </c>
      <c r="B19" s="2" t="s">
        <v>43</v>
      </c>
      <c r="C19" s="6">
        <v>5565.0</v>
      </c>
      <c r="D19" s="5" t="s">
        <v>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 t="s">
        <v>44</v>
      </c>
      <c r="B20" s="2" t="s">
        <v>45</v>
      </c>
      <c r="C20" s="6">
        <v>5900.0</v>
      </c>
      <c r="D20" s="5" t="s">
        <v>10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" t="s">
        <v>46</v>
      </c>
      <c r="B21" s="2" t="s">
        <v>47</v>
      </c>
      <c r="C21" s="6">
        <v>608.0</v>
      </c>
      <c r="D21" s="5" t="s">
        <v>6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" t="s">
        <v>48</v>
      </c>
      <c r="B22" s="2" t="s">
        <v>7</v>
      </c>
      <c r="C22" s="6">
        <v>819.0</v>
      </c>
      <c r="D22" s="5" t="s">
        <v>13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" t="s">
        <v>49</v>
      </c>
      <c r="B23" s="2" t="s">
        <v>50</v>
      </c>
      <c r="C23" s="6">
        <v>564.0</v>
      </c>
      <c r="D23" s="5" t="s">
        <v>13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 t="s">
        <v>51</v>
      </c>
      <c r="B24" s="2" t="s">
        <v>52</v>
      </c>
      <c r="C24" s="6">
        <v>7861.0</v>
      </c>
      <c r="D24" s="5" t="s">
        <v>6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" t="s">
        <v>53</v>
      </c>
      <c r="B25" s="2" t="s">
        <v>54</v>
      </c>
      <c r="C25" s="6">
        <v>731.0</v>
      </c>
      <c r="D25" s="5" t="s">
        <v>6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" t="s">
        <v>55</v>
      </c>
      <c r="B26" s="2" t="s">
        <v>56</v>
      </c>
      <c r="C26" s="6">
        <v>7150.0</v>
      </c>
      <c r="D26" s="5" t="s">
        <v>10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" t="s">
        <v>57</v>
      </c>
      <c r="B27" s="2" t="s">
        <v>58</v>
      </c>
      <c r="C27" s="6">
        <v>9927.0</v>
      </c>
      <c r="D27" s="5" t="s">
        <v>6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" t="s">
        <v>59</v>
      </c>
      <c r="B28" s="2" t="s">
        <v>60</v>
      </c>
      <c r="C28" s="6">
        <v>2219.0</v>
      </c>
      <c r="D28" s="5" t="s">
        <v>10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" t="s">
        <v>61</v>
      </c>
      <c r="B29" s="2" t="s">
        <v>62</v>
      </c>
      <c r="C29" s="6">
        <v>3079.0</v>
      </c>
      <c r="D29" s="5" t="s">
        <v>13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" t="s">
        <v>63</v>
      </c>
      <c r="B30" s="2" t="s">
        <v>64</v>
      </c>
      <c r="C30" s="6">
        <v>7887.0</v>
      </c>
      <c r="D30" s="5" t="s">
        <v>10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" t="s">
        <v>65</v>
      </c>
      <c r="B31" s="2" t="s">
        <v>66</v>
      </c>
      <c r="C31" s="6">
        <v>6912.0</v>
      </c>
      <c r="D31" s="5" t="s">
        <v>6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" t="s">
        <v>67</v>
      </c>
      <c r="B32" s="2" t="s">
        <v>68</v>
      </c>
      <c r="C32" s="6">
        <v>6202.0</v>
      </c>
      <c r="D32" s="5" t="s">
        <v>10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5" t="s">
        <v>69</v>
      </c>
      <c r="B33" s="2" t="s">
        <v>70</v>
      </c>
      <c r="C33" s="6">
        <v>3042.0</v>
      </c>
      <c r="D33" s="5" t="s">
        <v>6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5" t="s">
        <v>71</v>
      </c>
      <c r="B34" s="2" t="s">
        <v>72</v>
      </c>
      <c r="C34" s="6">
        <v>1430.0</v>
      </c>
      <c r="D34" s="5" t="s">
        <v>10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5" t="s">
        <v>73</v>
      </c>
      <c r="B35" s="2" t="s">
        <v>74</v>
      </c>
      <c r="C35" s="6">
        <v>2892.0</v>
      </c>
      <c r="D35" s="5" t="s">
        <v>10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5" t="s">
        <v>75</v>
      </c>
      <c r="B36" s="2" t="s">
        <v>76</v>
      </c>
      <c r="C36" s="6">
        <v>9172.0</v>
      </c>
      <c r="D36" s="5" t="s">
        <v>13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5" t="s">
        <v>77</v>
      </c>
      <c r="B37" s="2" t="s">
        <v>78</v>
      </c>
      <c r="C37" s="6">
        <v>357.0</v>
      </c>
      <c r="D37" s="5" t="s">
        <v>10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5" t="s">
        <v>79</v>
      </c>
      <c r="B38" s="2" t="s">
        <v>80</v>
      </c>
      <c r="C38" s="6">
        <v>619.0</v>
      </c>
      <c r="D38" s="5" t="s">
        <v>6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5" t="s">
        <v>81</v>
      </c>
      <c r="B39" s="2" t="s">
        <v>82</v>
      </c>
      <c r="C39" s="6">
        <v>7088.0</v>
      </c>
      <c r="D39" s="5" t="s">
        <v>13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5" t="s">
        <v>83</v>
      </c>
      <c r="B40" s="2" t="s">
        <v>84</v>
      </c>
      <c r="C40" s="6">
        <v>9380.0</v>
      </c>
      <c r="D40" s="5" t="s">
        <v>10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5" t="s">
        <v>85</v>
      </c>
      <c r="B41" s="2" t="s">
        <v>86</v>
      </c>
      <c r="C41" s="6">
        <v>3330.0</v>
      </c>
      <c r="D41" s="5" t="s">
        <v>10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5" t="s">
        <v>87</v>
      </c>
      <c r="B42" s="2" t="s">
        <v>88</v>
      </c>
      <c r="C42" s="6">
        <v>9746.0</v>
      </c>
      <c r="D42" s="5" t="s">
        <v>13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5" t="s">
        <v>89</v>
      </c>
      <c r="B43" s="2" t="s">
        <v>90</v>
      </c>
      <c r="C43" s="6">
        <v>9226.0</v>
      </c>
      <c r="D43" s="5" t="s">
        <v>13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5" t="s">
        <v>91</v>
      </c>
      <c r="B44" s="2" t="s">
        <v>92</v>
      </c>
      <c r="C44" s="6">
        <v>5808.0</v>
      </c>
      <c r="D44" s="5" t="s">
        <v>13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5" t="s">
        <v>93</v>
      </c>
      <c r="B45" s="2" t="s">
        <v>94</v>
      </c>
      <c r="C45" s="6">
        <v>6838.0</v>
      </c>
      <c r="D45" s="5" t="s">
        <v>6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" t="s">
        <v>95</v>
      </c>
      <c r="B46" s="2" t="s">
        <v>96</v>
      </c>
      <c r="C46" s="6">
        <v>6330.0</v>
      </c>
      <c r="D46" s="5" t="s">
        <v>6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5" t="s">
        <v>97</v>
      </c>
      <c r="B47" s="2" t="s">
        <v>98</v>
      </c>
      <c r="C47" s="6">
        <v>701.0</v>
      </c>
      <c r="D47" s="5" t="s">
        <v>6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5" t="s">
        <v>99</v>
      </c>
      <c r="B48" s="2" t="s">
        <v>100</v>
      </c>
      <c r="C48" s="6">
        <v>7196.0</v>
      </c>
      <c r="D48" s="5" t="s">
        <v>10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5" t="s">
        <v>101</v>
      </c>
      <c r="B49" s="2" t="s">
        <v>102</v>
      </c>
      <c r="C49" s="6">
        <v>6864.0</v>
      </c>
      <c r="D49" s="5" t="s">
        <v>6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5" t="s">
        <v>103</v>
      </c>
      <c r="B50" s="2" t="s">
        <v>104</v>
      </c>
      <c r="C50" s="6">
        <v>1587.0</v>
      </c>
      <c r="D50" s="5" t="s">
        <v>6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5" t="s">
        <v>105</v>
      </c>
      <c r="B51" s="2" t="s">
        <v>106</v>
      </c>
      <c r="C51" s="6">
        <v>4717.0</v>
      </c>
      <c r="D51" s="5" t="s">
        <v>13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5" t="s">
        <v>107</v>
      </c>
      <c r="B52" s="2" t="s">
        <v>108</v>
      </c>
      <c r="C52" s="6">
        <v>6880.0</v>
      </c>
      <c r="D52" s="5" t="s">
        <v>10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5" t="s">
        <v>109</v>
      </c>
      <c r="B53" s="2" t="s">
        <v>110</v>
      </c>
      <c r="C53" s="6">
        <v>4853.0</v>
      </c>
      <c r="D53" s="5" t="s">
        <v>13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5" t="s">
        <v>111</v>
      </c>
      <c r="B54" s="2" t="s">
        <v>112</v>
      </c>
      <c r="C54" s="6">
        <v>801.0</v>
      </c>
      <c r="D54" s="5" t="s">
        <v>10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5" t="s">
        <v>113</v>
      </c>
      <c r="B55" s="2" t="s">
        <v>114</v>
      </c>
      <c r="C55" s="6">
        <v>1928.0</v>
      </c>
      <c r="D55" s="5" t="s">
        <v>13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5" t="s">
        <v>115</v>
      </c>
      <c r="B56" s="2" t="s">
        <v>116</v>
      </c>
      <c r="C56" s="6">
        <v>1028.0</v>
      </c>
      <c r="D56" s="5" t="s">
        <v>13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5" t="s">
        <v>117</v>
      </c>
      <c r="B57" s="2" t="s">
        <v>118</v>
      </c>
      <c r="C57" s="6">
        <v>5895.0</v>
      </c>
      <c r="D57" s="5" t="s">
        <v>10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5" t="s">
        <v>119</v>
      </c>
      <c r="B58" s="2" t="s">
        <v>120</v>
      </c>
      <c r="C58" s="6">
        <v>6489.0</v>
      </c>
      <c r="D58" s="5" t="s">
        <v>6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5" t="s">
        <v>121</v>
      </c>
      <c r="B59" s="2" t="s">
        <v>122</v>
      </c>
      <c r="C59" s="6">
        <v>9959.0</v>
      </c>
      <c r="D59" s="5" t="s">
        <v>10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5" t="s">
        <v>123</v>
      </c>
      <c r="B60" s="2" t="s">
        <v>124</v>
      </c>
      <c r="C60" s="6">
        <v>620.0</v>
      </c>
      <c r="D60" s="5" t="s">
        <v>13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5" t="s">
        <v>125</v>
      </c>
      <c r="B61" s="2" t="s">
        <v>126</v>
      </c>
      <c r="C61" s="6">
        <v>7231.0</v>
      </c>
      <c r="D61" s="5" t="s">
        <v>13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5" t="s">
        <v>127</v>
      </c>
      <c r="B62" s="2" t="s">
        <v>128</v>
      </c>
      <c r="C62" s="6">
        <v>4548.0</v>
      </c>
      <c r="D62" s="5" t="s">
        <v>13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5" t="s">
        <v>129</v>
      </c>
      <c r="B63" s="2" t="s">
        <v>130</v>
      </c>
      <c r="C63" s="6">
        <v>7846.0</v>
      </c>
      <c r="D63" s="5" t="s">
        <v>10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5" t="s">
        <v>131</v>
      </c>
      <c r="B64" s="2" t="s">
        <v>132</v>
      </c>
      <c r="C64" s="6">
        <v>7573.0</v>
      </c>
      <c r="D64" s="5" t="s">
        <v>13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5" t="s">
        <v>133</v>
      </c>
      <c r="B65" s="2" t="s">
        <v>134</v>
      </c>
      <c r="C65" s="6">
        <v>6785.0</v>
      </c>
      <c r="D65" s="5" t="s">
        <v>13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5" t="s">
        <v>135</v>
      </c>
      <c r="B66" s="2" t="s">
        <v>136</v>
      </c>
      <c r="C66" s="6">
        <v>7699.0</v>
      </c>
      <c r="D66" s="5" t="s">
        <v>13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5" t="s">
        <v>137</v>
      </c>
      <c r="B67" s="2" t="s">
        <v>138</v>
      </c>
      <c r="C67" s="6">
        <v>6281.0</v>
      </c>
      <c r="D67" s="5" t="s">
        <v>6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5" t="s">
        <v>139</v>
      </c>
      <c r="B68" s="2" t="s">
        <v>140</v>
      </c>
      <c r="C68" s="6">
        <v>959.0</v>
      </c>
      <c r="D68" s="5" t="s">
        <v>13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5" t="s">
        <v>141</v>
      </c>
      <c r="B69" s="2" t="s">
        <v>142</v>
      </c>
      <c r="C69" s="6">
        <v>9644.0</v>
      </c>
      <c r="D69" s="5" t="s">
        <v>13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5" t="s">
        <v>143</v>
      </c>
      <c r="B70" s="2" t="s">
        <v>144</v>
      </c>
      <c r="C70" s="6">
        <v>5728.0</v>
      </c>
      <c r="D70" s="5" t="s">
        <v>6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5" t="s">
        <v>145</v>
      </c>
      <c r="B71" s="2" t="s">
        <v>146</v>
      </c>
      <c r="C71" s="6">
        <v>9216.0</v>
      </c>
      <c r="D71" s="5" t="s">
        <v>13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5" t="s">
        <v>147</v>
      </c>
      <c r="B72" s="2" t="s">
        <v>148</v>
      </c>
      <c r="C72" s="6">
        <v>2985.0</v>
      </c>
      <c r="D72" s="5" t="s">
        <v>13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5" t="s">
        <v>149</v>
      </c>
      <c r="B73" s="2" t="s">
        <v>150</v>
      </c>
      <c r="C73" s="6">
        <v>8403.0</v>
      </c>
      <c r="D73" s="5" t="s">
        <v>10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5" t="s">
        <v>151</v>
      </c>
      <c r="B74" s="2" t="s">
        <v>152</v>
      </c>
      <c r="C74" s="6">
        <v>8250.0</v>
      </c>
      <c r="D74" s="5" t="s">
        <v>13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5" t="s">
        <v>153</v>
      </c>
      <c r="B75" s="2" t="s">
        <v>154</v>
      </c>
      <c r="C75" s="6">
        <v>3185.0</v>
      </c>
      <c r="D75" s="5" t="s">
        <v>6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5" t="s">
        <v>155</v>
      </c>
      <c r="B76" s="2" t="s">
        <v>156</v>
      </c>
      <c r="C76" s="6">
        <v>5718.0</v>
      </c>
      <c r="D76" s="5" t="s">
        <v>10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5" t="s">
        <v>157</v>
      </c>
      <c r="B77" s="2" t="s">
        <v>158</v>
      </c>
      <c r="C77" s="6">
        <v>4388.0</v>
      </c>
      <c r="D77" s="5" t="s">
        <v>6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5" t="s">
        <v>159</v>
      </c>
      <c r="B78" s="2" t="s">
        <v>160</v>
      </c>
      <c r="C78" s="6">
        <v>7880.0</v>
      </c>
      <c r="D78" s="5" t="s">
        <v>6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5" t="s">
        <v>161</v>
      </c>
      <c r="B79" s="2" t="s">
        <v>162</v>
      </c>
      <c r="C79" s="6">
        <v>304.0</v>
      </c>
      <c r="D79" s="5" t="s">
        <v>13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5" t="s">
        <v>163</v>
      </c>
      <c r="B80" s="2" t="s">
        <v>164</v>
      </c>
      <c r="C80" s="6">
        <v>8521.0</v>
      </c>
      <c r="D80" s="5" t="s">
        <v>10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5" t="s">
        <v>165</v>
      </c>
      <c r="B81" s="2" t="s">
        <v>166</v>
      </c>
      <c r="C81" s="6">
        <v>9004.0</v>
      </c>
      <c r="D81" s="5" t="s">
        <v>6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5" t="s">
        <v>167</v>
      </c>
      <c r="B82" s="2" t="s">
        <v>168</v>
      </c>
      <c r="C82" s="6">
        <v>6818.0</v>
      </c>
      <c r="D82" s="5" t="s">
        <v>6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5" t="s">
        <v>169</v>
      </c>
      <c r="B83" s="2" t="s">
        <v>170</v>
      </c>
      <c r="C83" s="6">
        <v>8253.0</v>
      </c>
      <c r="D83" s="5" t="s">
        <v>6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5" t="s">
        <v>171</v>
      </c>
      <c r="B84" s="2" t="s">
        <v>172</v>
      </c>
      <c r="C84" s="6">
        <v>4525.0</v>
      </c>
      <c r="D84" s="5" t="s">
        <v>10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5" t="s">
        <v>173</v>
      </c>
      <c r="B85" s="2" t="s">
        <v>174</v>
      </c>
      <c r="C85" s="6">
        <v>8932.0</v>
      </c>
      <c r="D85" s="5" t="s">
        <v>6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5" t="s">
        <v>175</v>
      </c>
      <c r="B86" s="2" t="s">
        <v>176</v>
      </c>
      <c r="C86" s="6">
        <v>6255.0</v>
      </c>
      <c r="D86" s="5" t="s">
        <v>6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5" t="s">
        <v>177</v>
      </c>
      <c r="B87" s="2" t="s">
        <v>178</v>
      </c>
      <c r="C87" s="6">
        <v>4078.0</v>
      </c>
      <c r="D87" s="5" t="s">
        <v>13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5" t="s">
        <v>179</v>
      </c>
      <c r="B88" s="2" t="s">
        <v>180</v>
      </c>
      <c r="C88" s="6">
        <v>5986.0</v>
      </c>
      <c r="D88" s="5" t="s">
        <v>10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5" t="s">
        <v>181</v>
      </c>
      <c r="B89" s="2" t="s">
        <v>182</v>
      </c>
      <c r="C89" s="6">
        <v>2976.0</v>
      </c>
      <c r="D89" s="5" t="s">
        <v>6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5" t="s">
        <v>183</v>
      </c>
      <c r="B90" s="2" t="s">
        <v>184</v>
      </c>
      <c r="C90" s="6">
        <v>5519.0</v>
      </c>
      <c r="D90" s="5" t="s">
        <v>10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5" t="s">
        <v>185</v>
      </c>
      <c r="B91" s="2" t="s">
        <v>186</v>
      </c>
      <c r="C91" s="6">
        <v>2780.0</v>
      </c>
      <c r="D91" s="5" t="s">
        <v>13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5" t="s">
        <v>187</v>
      </c>
      <c r="B92" s="2" t="s">
        <v>188</v>
      </c>
      <c r="C92" s="6">
        <v>559.0</v>
      </c>
      <c r="D92" s="5" t="s">
        <v>13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5" t="s">
        <v>189</v>
      </c>
      <c r="B93" s="2" t="s">
        <v>190</v>
      </c>
      <c r="C93" s="6">
        <v>610.0</v>
      </c>
      <c r="D93" s="5" t="s">
        <v>13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5" t="s">
        <v>191</v>
      </c>
      <c r="B94" s="2" t="s">
        <v>192</v>
      </c>
      <c r="C94" s="6">
        <v>9775.0</v>
      </c>
      <c r="D94" s="5" t="s">
        <v>13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5" t="s">
        <v>193</v>
      </c>
      <c r="B95" s="2" t="s">
        <v>194</v>
      </c>
      <c r="C95" s="6">
        <v>9280.0</v>
      </c>
      <c r="D95" s="5" t="s">
        <v>6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5" t="s">
        <v>195</v>
      </c>
      <c r="B96" s="2" t="s">
        <v>196</v>
      </c>
      <c r="C96" s="6">
        <v>2868.0</v>
      </c>
      <c r="D96" s="5" t="s">
        <v>6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5" t="s">
        <v>197</v>
      </c>
      <c r="B97" s="2" t="s">
        <v>198</v>
      </c>
      <c r="C97" s="6">
        <v>1401.0</v>
      </c>
      <c r="D97" s="5" t="s">
        <v>13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5" t="s">
        <v>199</v>
      </c>
      <c r="B98" s="2" t="s">
        <v>200</v>
      </c>
      <c r="C98" s="6">
        <v>4498.0</v>
      </c>
      <c r="D98" s="5" t="s">
        <v>10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5" t="s">
        <v>201</v>
      </c>
      <c r="B99" s="2" t="s">
        <v>202</v>
      </c>
      <c r="C99" s="6">
        <v>5409.0</v>
      </c>
      <c r="D99" s="5" t="s">
        <v>6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5" t="s">
        <v>203</v>
      </c>
      <c r="B100" s="2" t="s">
        <v>204</v>
      </c>
      <c r="C100" s="6">
        <v>1099.0</v>
      </c>
      <c r="D100" s="5" t="s">
        <v>10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5" t="s">
        <v>205</v>
      </c>
      <c r="B101" s="2" t="s">
        <v>206</v>
      </c>
      <c r="C101" s="6">
        <v>765.0</v>
      </c>
      <c r="D101" s="5" t="s">
        <v>10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5"/>
      <c r="B102" s="2"/>
      <c r="C102" s="10"/>
      <c r="D102" s="5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5"/>
      <c r="B103" s="2"/>
      <c r="C103" s="10"/>
      <c r="D103" s="5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5"/>
      <c r="B104" s="2"/>
      <c r="C104" s="10"/>
      <c r="D104" s="5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5"/>
      <c r="B105" s="2"/>
      <c r="C105" s="10"/>
      <c r="D105" s="5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5"/>
      <c r="B106" s="2"/>
      <c r="C106" s="10"/>
      <c r="D106" s="5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5"/>
      <c r="B107" s="2"/>
      <c r="C107" s="10"/>
      <c r="D107" s="5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5"/>
      <c r="B108" s="2"/>
      <c r="C108" s="10"/>
      <c r="D108" s="5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5"/>
      <c r="B109" s="2"/>
      <c r="C109" s="10"/>
      <c r="D109" s="5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5"/>
      <c r="B110" s="2"/>
      <c r="C110" s="10"/>
      <c r="D110" s="5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5"/>
      <c r="B111" s="2"/>
      <c r="C111" s="10"/>
      <c r="D111" s="5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5"/>
      <c r="B112" s="2"/>
      <c r="C112" s="10"/>
      <c r="D112" s="5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5"/>
      <c r="B113" s="2"/>
      <c r="C113" s="10"/>
      <c r="D113" s="5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5"/>
      <c r="B114" s="2"/>
      <c r="C114" s="10"/>
      <c r="D114" s="5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5"/>
      <c r="B115" s="2"/>
      <c r="C115" s="10"/>
      <c r="D115" s="5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5"/>
      <c r="B116" s="2"/>
      <c r="C116" s="10"/>
      <c r="D116" s="5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5"/>
      <c r="B117" s="2"/>
      <c r="C117" s="10"/>
      <c r="D117" s="5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5"/>
      <c r="B118" s="2"/>
      <c r="C118" s="10"/>
      <c r="D118" s="5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5"/>
      <c r="B119" s="2"/>
      <c r="C119" s="10"/>
      <c r="D119" s="5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5"/>
      <c r="B120" s="2"/>
      <c r="C120" s="10"/>
      <c r="D120" s="5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5"/>
      <c r="B121" s="2"/>
      <c r="C121" s="10"/>
      <c r="D121" s="5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5"/>
      <c r="B122" s="2"/>
      <c r="C122" s="10"/>
      <c r="D122" s="5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5"/>
      <c r="B123" s="2"/>
      <c r="C123" s="10"/>
      <c r="D123" s="5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5"/>
      <c r="B124" s="2"/>
      <c r="C124" s="10"/>
      <c r="D124" s="5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5"/>
      <c r="B125" s="2"/>
      <c r="C125" s="10"/>
      <c r="D125" s="5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5"/>
      <c r="B126" s="2"/>
      <c r="C126" s="10"/>
      <c r="D126" s="5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5"/>
      <c r="B127" s="2"/>
      <c r="C127" s="10"/>
      <c r="D127" s="5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5"/>
      <c r="B128" s="2"/>
      <c r="C128" s="10"/>
      <c r="D128" s="5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5"/>
      <c r="B129" s="2"/>
      <c r="C129" s="10"/>
      <c r="D129" s="5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5"/>
      <c r="B130" s="2"/>
      <c r="C130" s="10"/>
      <c r="D130" s="5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5"/>
      <c r="B131" s="2"/>
      <c r="C131" s="10"/>
      <c r="D131" s="5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5"/>
      <c r="B132" s="2"/>
      <c r="C132" s="10"/>
      <c r="D132" s="5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5"/>
      <c r="B133" s="2"/>
      <c r="C133" s="10"/>
      <c r="D133" s="5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5"/>
      <c r="B134" s="2"/>
      <c r="C134" s="10"/>
      <c r="D134" s="5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5"/>
      <c r="B135" s="2"/>
      <c r="C135" s="10"/>
      <c r="D135" s="5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5"/>
      <c r="B136" s="2"/>
      <c r="C136" s="10"/>
      <c r="D136" s="5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5"/>
      <c r="B137" s="2"/>
      <c r="C137" s="10"/>
      <c r="D137" s="5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5"/>
      <c r="B138" s="2"/>
      <c r="C138" s="10"/>
      <c r="D138" s="5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5"/>
      <c r="B139" s="2"/>
      <c r="C139" s="10"/>
      <c r="D139" s="5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5"/>
      <c r="B140" s="2"/>
      <c r="C140" s="10"/>
      <c r="D140" s="5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5"/>
      <c r="B141" s="2"/>
      <c r="C141" s="10"/>
      <c r="D141" s="5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5"/>
      <c r="B142" s="2"/>
      <c r="C142" s="10"/>
      <c r="D142" s="5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5"/>
      <c r="B143" s="2"/>
      <c r="C143" s="10"/>
      <c r="D143" s="5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5"/>
      <c r="B144" s="2"/>
      <c r="C144" s="10"/>
      <c r="D144" s="5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5"/>
      <c r="B145" s="2"/>
      <c r="C145" s="10"/>
      <c r="D145" s="5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5"/>
      <c r="B146" s="2"/>
      <c r="C146" s="10"/>
      <c r="D146" s="5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5"/>
      <c r="B147" s="2"/>
      <c r="C147" s="10"/>
      <c r="D147" s="5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5"/>
      <c r="B148" s="2"/>
      <c r="C148" s="10"/>
      <c r="D148" s="5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5"/>
      <c r="B149" s="2"/>
      <c r="C149" s="10"/>
      <c r="D149" s="5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5"/>
      <c r="B150" s="2"/>
      <c r="C150" s="10"/>
      <c r="D150" s="5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5"/>
      <c r="B151" s="2"/>
      <c r="C151" s="10"/>
      <c r="D151" s="5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5"/>
      <c r="B152" s="2"/>
      <c r="C152" s="10"/>
      <c r="D152" s="5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5"/>
      <c r="B153" s="2"/>
      <c r="C153" s="10"/>
      <c r="D153" s="5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5"/>
      <c r="B154" s="2"/>
      <c r="C154" s="10"/>
      <c r="D154" s="5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5"/>
      <c r="B155" s="2"/>
      <c r="C155" s="10"/>
      <c r="D155" s="5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5"/>
      <c r="B156" s="2"/>
      <c r="C156" s="10"/>
      <c r="D156" s="5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5"/>
      <c r="B157" s="2"/>
      <c r="C157" s="10"/>
      <c r="D157" s="5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5"/>
      <c r="B158" s="2"/>
      <c r="C158" s="10"/>
      <c r="D158" s="5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5"/>
      <c r="B159" s="2"/>
      <c r="C159" s="10"/>
      <c r="D159" s="5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5"/>
      <c r="B160" s="2"/>
      <c r="C160" s="10"/>
      <c r="D160" s="5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5"/>
      <c r="B161" s="2"/>
      <c r="C161" s="10"/>
      <c r="D161" s="5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5"/>
      <c r="B162" s="2"/>
      <c r="C162" s="10"/>
      <c r="D162" s="5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5"/>
      <c r="B163" s="2"/>
      <c r="C163" s="10"/>
      <c r="D163" s="5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5"/>
      <c r="B164" s="2"/>
      <c r="C164" s="10"/>
      <c r="D164" s="5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5"/>
      <c r="B165" s="2"/>
      <c r="C165" s="10"/>
      <c r="D165" s="5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5"/>
      <c r="B166" s="2"/>
      <c r="C166" s="10"/>
      <c r="D166" s="5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5"/>
      <c r="B167" s="2"/>
      <c r="C167" s="10"/>
      <c r="D167" s="5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5"/>
      <c r="B168" s="2"/>
      <c r="C168" s="10"/>
      <c r="D168" s="5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5"/>
      <c r="B169" s="2"/>
      <c r="C169" s="10"/>
      <c r="D169" s="5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5"/>
      <c r="B170" s="2"/>
      <c r="C170" s="10"/>
      <c r="D170" s="5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5"/>
      <c r="B171" s="2"/>
      <c r="C171" s="10"/>
      <c r="D171" s="5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5"/>
      <c r="B172" s="2"/>
      <c r="C172" s="10"/>
      <c r="D172" s="5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5"/>
      <c r="B173" s="2"/>
      <c r="C173" s="10"/>
      <c r="D173" s="5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5"/>
      <c r="B174" s="2"/>
      <c r="C174" s="10"/>
      <c r="D174" s="5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5"/>
      <c r="B175" s="2"/>
      <c r="C175" s="10"/>
      <c r="D175" s="5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5"/>
      <c r="B176" s="2"/>
      <c r="C176" s="10"/>
      <c r="D176" s="5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5"/>
      <c r="B177" s="2"/>
      <c r="C177" s="10"/>
      <c r="D177" s="5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5"/>
      <c r="B178" s="2"/>
      <c r="C178" s="10"/>
      <c r="D178" s="5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5"/>
      <c r="B179" s="2"/>
      <c r="C179" s="10"/>
      <c r="D179" s="5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5"/>
      <c r="B180" s="2"/>
      <c r="C180" s="10"/>
      <c r="D180" s="5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5"/>
      <c r="B181" s="2"/>
      <c r="C181" s="10"/>
      <c r="D181" s="5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5"/>
      <c r="B182" s="2"/>
      <c r="C182" s="10"/>
      <c r="D182" s="5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5"/>
      <c r="B183" s="2"/>
      <c r="C183" s="10"/>
      <c r="D183" s="5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5"/>
      <c r="B184" s="2"/>
      <c r="C184" s="10"/>
      <c r="D184" s="5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5"/>
      <c r="B185" s="2"/>
      <c r="C185" s="10"/>
      <c r="D185" s="5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5"/>
      <c r="B186" s="2"/>
      <c r="C186" s="10"/>
      <c r="D186" s="5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5"/>
      <c r="B187" s="2"/>
      <c r="C187" s="10"/>
      <c r="D187" s="5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5"/>
      <c r="B188" s="2"/>
      <c r="C188" s="10"/>
      <c r="D188" s="5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5"/>
      <c r="B189" s="2"/>
      <c r="C189" s="10"/>
      <c r="D189" s="5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5"/>
      <c r="B190" s="2"/>
      <c r="C190" s="10"/>
      <c r="D190" s="5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5"/>
      <c r="B191" s="2"/>
      <c r="C191" s="10"/>
      <c r="D191" s="5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5"/>
      <c r="B192" s="2"/>
      <c r="C192" s="10"/>
      <c r="D192" s="5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5"/>
      <c r="B193" s="2"/>
      <c r="C193" s="10"/>
      <c r="D193" s="5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5"/>
      <c r="B194" s="2"/>
      <c r="C194" s="10"/>
      <c r="D194" s="5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5"/>
      <c r="B195" s="2"/>
      <c r="C195" s="10"/>
      <c r="D195" s="5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5"/>
      <c r="B196" s="2"/>
      <c r="C196" s="10"/>
      <c r="D196" s="5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5"/>
      <c r="B197" s="2"/>
      <c r="C197" s="10"/>
      <c r="D197" s="5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5"/>
      <c r="B198" s="2"/>
      <c r="C198" s="10"/>
      <c r="D198" s="5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5"/>
      <c r="B199" s="2"/>
      <c r="C199" s="10"/>
      <c r="D199" s="5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5"/>
      <c r="B200" s="2"/>
      <c r="C200" s="10"/>
      <c r="D200" s="5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5"/>
      <c r="B201" s="2"/>
      <c r="C201" s="10"/>
      <c r="D201" s="5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5"/>
      <c r="B202" s="2"/>
      <c r="C202" s="10"/>
      <c r="D202" s="5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5"/>
      <c r="B203" s="2"/>
      <c r="C203" s="10"/>
      <c r="D203" s="5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5"/>
      <c r="B204" s="2"/>
      <c r="C204" s="10"/>
      <c r="D204" s="5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5"/>
      <c r="B205" s="2"/>
      <c r="C205" s="10"/>
      <c r="D205" s="5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5"/>
      <c r="B206" s="2"/>
      <c r="C206" s="10"/>
      <c r="D206" s="5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5"/>
      <c r="B207" s="2"/>
      <c r="C207" s="10"/>
      <c r="D207" s="5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5"/>
      <c r="B208" s="2"/>
      <c r="C208" s="10"/>
      <c r="D208" s="5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5"/>
      <c r="B209" s="2"/>
      <c r="C209" s="10"/>
      <c r="D209" s="5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5"/>
      <c r="B210" s="2"/>
      <c r="C210" s="10"/>
      <c r="D210" s="5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5"/>
      <c r="B211" s="2"/>
      <c r="C211" s="10"/>
      <c r="D211" s="5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5"/>
      <c r="B212" s="2"/>
      <c r="C212" s="10"/>
      <c r="D212" s="5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5"/>
      <c r="B213" s="2"/>
      <c r="C213" s="10"/>
      <c r="D213" s="5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5"/>
      <c r="B214" s="2"/>
      <c r="C214" s="10"/>
      <c r="D214" s="5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5"/>
      <c r="B215" s="2"/>
      <c r="C215" s="10"/>
      <c r="D215" s="5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5"/>
      <c r="B216" s="2"/>
      <c r="C216" s="10"/>
      <c r="D216" s="5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5"/>
      <c r="B217" s="2"/>
      <c r="C217" s="10"/>
      <c r="D217" s="5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5"/>
      <c r="B218" s="2"/>
      <c r="C218" s="10"/>
      <c r="D218" s="5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5"/>
      <c r="B219" s="2"/>
      <c r="C219" s="10"/>
      <c r="D219" s="5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5"/>
      <c r="B220" s="2"/>
      <c r="C220" s="10"/>
      <c r="D220" s="5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5"/>
      <c r="B221" s="2"/>
      <c r="C221" s="10"/>
      <c r="D221" s="5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5"/>
      <c r="B222" s="2"/>
      <c r="C222" s="10"/>
      <c r="D222" s="5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5"/>
      <c r="B223" s="2"/>
      <c r="C223" s="10"/>
      <c r="D223" s="5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5"/>
      <c r="B224" s="2"/>
      <c r="C224" s="10"/>
      <c r="D224" s="5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5"/>
      <c r="B225" s="2"/>
      <c r="C225" s="10"/>
      <c r="D225" s="5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5"/>
      <c r="B226" s="2"/>
      <c r="C226" s="10"/>
      <c r="D226" s="5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5"/>
      <c r="B227" s="2"/>
      <c r="C227" s="10"/>
      <c r="D227" s="5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5"/>
      <c r="B228" s="2"/>
      <c r="C228" s="10"/>
      <c r="D228" s="5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5"/>
      <c r="B229" s="2"/>
      <c r="C229" s="10"/>
      <c r="D229" s="5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5"/>
      <c r="B230" s="2"/>
      <c r="C230" s="10"/>
      <c r="D230" s="5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5"/>
      <c r="B231" s="2"/>
      <c r="C231" s="10"/>
      <c r="D231" s="5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5"/>
      <c r="B232" s="2"/>
      <c r="C232" s="10"/>
      <c r="D232" s="5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5"/>
      <c r="B233" s="2"/>
      <c r="C233" s="10"/>
      <c r="D233" s="5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5"/>
      <c r="B234" s="2"/>
      <c r="C234" s="10"/>
      <c r="D234" s="5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5"/>
      <c r="B235" s="2"/>
      <c r="C235" s="10"/>
      <c r="D235" s="5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5"/>
      <c r="B236" s="2"/>
      <c r="C236" s="10"/>
      <c r="D236" s="5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5"/>
      <c r="B237" s="2"/>
      <c r="C237" s="10"/>
      <c r="D237" s="5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5"/>
      <c r="B238" s="2"/>
      <c r="C238" s="10"/>
      <c r="D238" s="5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5"/>
      <c r="B239" s="2"/>
      <c r="C239" s="10"/>
      <c r="D239" s="5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5"/>
      <c r="B240" s="2"/>
      <c r="C240" s="10"/>
      <c r="D240" s="5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5"/>
      <c r="B241" s="2"/>
      <c r="C241" s="10"/>
      <c r="D241" s="5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5"/>
      <c r="B242" s="2"/>
      <c r="C242" s="10"/>
      <c r="D242" s="5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5"/>
      <c r="B243" s="2"/>
      <c r="C243" s="10"/>
      <c r="D243" s="5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5"/>
      <c r="B244" s="2"/>
      <c r="C244" s="10"/>
      <c r="D244" s="5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5"/>
      <c r="B245" s="2"/>
      <c r="C245" s="10"/>
      <c r="D245" s="5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5"/>
      <c r="B246" s="2"/>
      <c r="C246" s="10"/>
      <c r="D246" s="5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5"/>
      <c r="B247" s="2"/>
      <c r="C247" s="10"/>
      <c r="D247" s="5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5"/>
      <c r="B248" s="2"/>
      <c r="C248" s="10"/>
      <c r="D248" s="5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5"/>
      <c r="B249" s="2"/>
      <c r="C249" s="10"/>
      <c r="D249" s="5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5"/>
      <c r="B250" s="2"/>
      <c r="C250" s="10"/>
      <c r="D250" s="5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5"/>
      <c r="B251" s="2"/>
      <c r="C251" s="10"/>
      <c r="D251" s="5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5"/>
      <c r="B252" s="2"/>
      <c r="C252" s="10"/>
      <c r="D252" s="5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5"/>
      <c r="B253" s="2"/>
      <c r="C253" s="10"/>
      <c r="D253" s="5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5"/>
      <c r="B254" s="2"/>
      <c r="C254" s="10"/>
      <c r="D254" s="5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5"/>
      <c r="B255" s="2"/>
      <c r="C255" s="10"/>
      <c r="D255" s="5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5"/>
      <c r="B256" s="2"/>
      <c r="C256" s="10"/>
      <c r="D256" s="5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5"/>
      <c r="B257" s="2"/>
      <c r="C257" s="10"/>
      <c r="D257" s="5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5"/>
      <c r="B258" s="2"/>
      <c r="C258" s="10"/>
      <c r="D258" s="5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5"/>
      <c r="B259" s="2"/>
      <c r="C259" s="10"/>
      <c r="D259" s="5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5"/>
      <c r="B260" s="2"/>
      <c r="C260" s="10"/>
      <c r="D260" s="5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5"/>
      <c r="B261" s="5"/>
      <c r="C261" s="10"/>
      <c r="D261" s="5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5"/>
      <c r="B262" s="5"/>
      <c r="C262" s="10"/>
      <c r="D262" s="5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5"/>
      <c r="B263" s="5"/>
      <c r="C263" s="10"/>
      <c r="D263" s="5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5"/>
      <c r="B264" s="5"/>
      <c r="C264" s="10"/>
      <c r="D264" s="5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5"/>
      <c r="B265" s="5"/>
      <c r="C265" s="10"/>
      <c r="D265" s="5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5"/>
      <c r="B266" s="5"/>
      <c r="C266" s="10"/>
      <c r="D266" s="5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5"/>
      <c r="B267" s="5"/>
      <c r="C267" s="10"/>
      <c r="D267" s="5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5"/>
      <c r="B268" s="5"/>
      <c r="C268" s="10"/>
      <c r="D268" s="5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5"/>
      <c r="B269" s="5"/>
      <c r="C269" s="10"/>
      <c r="D269" s="5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5"/>
      <c r="B270" s="5"/>
      <c r="C270" s="10"/>
      <c r="D270" s="5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5"/>
      <c r="B271" s="5"/>
      <c r="C271" s="10"/>
      <c r="D271" s="5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5"/>
      <c r="B272" s="5"/>
      <c r="C272" s="10"/>
      <c r="D272" s="5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5"/>
      <c r="B273" s="5"/>
      <c r="C273" s="10"/>
      <c r="D273" s="5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5"/>
      <c r="B274" s="5"/>
      <c r="C274" s="10"/>
      <c r="D274" s="5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5"/>
      <c r="B275" s="5"/>
      <c r="C275" s="10"/>
      <c r="D275" s="5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5"/>
      <c r="B276" s="5"/>
      <c r="C276" s="10"/>
      <c r="D276" s="5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5"/>
      <c r="B277" s="5"/>
      <c r="C277" s="10"/>
      <c r="D277" s="5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5"/>
      <c r="B278" s="5"/>
      <c r="C278" s="10"/>
      <c r="D278" s="5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5"/>
      <c r="B279" s="5"/>
      <c r="C279" s="10"/>
      <c r="D279" s="5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5"/>
      <c r="B280" s="5"/>
      <c r="C280" s="10"/>
      <c r="D280" s="5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5"/>
      <c r="B281" s="5"/>
      <c r="C281" s="10"/>
      <c r="D281" s="5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5"/>
      <c r="B282" s="5"/>
      <c r="C282" s="10"/>
      <c r="D282" s="5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5"/>
      <c r="B283" s="5"/>
      <c r="C283" s="10"/>
      <c r="D283" s="5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5"/>
      <c r="B284" s="5"/>
      <c r="C284" s="10"/>
      <c r="D284" s="5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5"/>
      <c r="B285" s="5"/>
      <c r="C285" s="10"/>
      <c r="D285" s="5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5"/>
      <c r="B286" s="5"/>
      <c r="C286" s="10"/>
      <c r="D286" s="5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5"/>
      <c r="B287" s="5"/>
      <c r="C287" s="10"/>
      <c r="D287" s="5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5"/>
      <c r="B288" s="5"/>
      <c r="C288" s="10"/>
      <c r="D288" s="5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5"/>
      <c r="B289" s="5"/>
      <c r="C289" s="10"/>
      <c r="D289" s="5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5"/>
      <c r="B290" s="5"/>
      <c r="C290" s="10"/>
      <c r="D290" s="5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5"/>
      <c r="B291" s="5"/>
      <c r="C291" s="10"/>
      <c r="D291" s="5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5"/>
      <c r="B292" s="5"/>
      <c r="C292" s="10"/>
      <c r="D292" s="5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5"/>
      <c r="B293" s="5"/>
      <c r="C293" s="10"/>
      <c r="D293" s="5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5"/>
      <c r="B294" s="5"/>
      <c r="C294" s="10"/>
      <c r="D294" s="5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5"/>
      <c r="B295" s="5"/>
      <c r="C295" s="10"/>
      <c r="D295" s="5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5"/>
      <c r="B296" s="5"/>
      <c r="C296" s="10"/>
      <c r="D296" s="5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5"/>
      <c r="B297" s="5"/>
      <c r="C297" s="10"/>
      <c r="D297" s="5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5"/>
      <c r="B298" s="5"/>
      <c r="C298" s="10"/>
      <c r="D298" s="5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5"/>
      <c r="B299" s="5"/>
      <c r="C299" s="10"/>
      <c r="D299" s="5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5"/>
      <c r="B300" s="5"/>
      <c r="C300" s="10"/>
      <c r="D300" s="5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5"/>
      <c r="B301" s="5"/>
      <c r="C301" s="10"/>
      <c r="D301" s="5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5"/>
      <c r="B302" s="5"/>
      <c r="C302" s="5"/>
      <c r="D302" s="5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5"/>
      <c r="B303" s="5"/>
      <c r="C303" s="5"/>
      <c r="D303" s="5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5"/>
      <c r="B304" s="5"/>
      <c r="C304" s="5"/>
      <c r="D304" s="5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5"/>
      <c r="B305" s="5"/>
      <c r="C305" s="5"/>
      <c r="D305" s="5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5"/>
      <c r="B306" s="5"/>
      <c r="C306" s="5"/>
      <c r="D306" s="5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5"/>
      <c r="B307" s="5"/>
      <c r="C307" s="5"/>
      <c r="D307" s="5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5"/>
      <c r="B308" s="5"/>
      <c r="C308" s="5"/>
      <c r="D308" s="5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5"/>
      <c r="B309" s="5"/>
      <c r="C309" s="5"/>
      <c r="D309" s="5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5"/>
      <c r="B310" s="5"/>
      <c r="C310" s="5"/>
      <c r="D310" s="5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5"/>
      <c r="B311" s="5"/>
      <c r="C311" s="5"/>
      <c r="D311" s="5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5"/>
      <c r="B312" s="5"/>
      <c r="C312" s="5"/>
      <c r="D312" s="5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5"/>
      <c r="B313" s="5"/>
      <c r="C313" s="5"/>
      <c r="D313" s="5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5"/>
      <c r="B314" s="5"/>
      <c r="C314" s="5"/>
      <c r="D314" s="5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5"/>
      <c r="B315" s="5"/>
      <c r="C315" s="5"/>
      <c r="D315" s="5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5"/>
      <c r="B316" s="5"/>
      <c r="C316" s="5"/>
      <c r="D316" s="5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5"/>
      <c r="B317" s="5"/>
      <c r="C317" s="5"/>
      <c r="D317" s="5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5"/>
      <c r="B318" s="5"/>
      <c r="C318" s="5"/>
      <c r="D318" s="5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5"/>
      <c r="B319" s="5"/>
      <c r="C319" s="5"/>
      <c r="D319" s="5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5"/>
      <c r="B320" s="5"/>
      <c r="C320" s="5"/>
      <c r="D320" s="5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5"/>
      <c r="B321" s="5"/>
      <c r="C321" s="5"/>
      <c r="D321" s="5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5"/>
      <c r="B322" s="5"/>
      <c r="C322" s="5"/>
      <c r="D322" s="5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5"/>
      <c r="B323" s="5"/>
      <c r="C323" s="5"/>
      <c r="D323" s="5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5"/>
      <c r="B324" s="5"/>
      <c r="C324" s="5"/>
      <c r="D324" s="5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5"/>
      <c r="B325" s="5"/>
      <c r="C325" s="5"/>
      <c r="D325" s="5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5"/>
      <c r="B326" s="5"/>
      <c r="C326" s="5"/>
      <c r="D326" s="5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5"/>
      <c r="B327" s="5"/>
      <c r="C327" s="5"/>
      <c r="D327" s="5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5"/>
      <c r="B328" s="5"/>
      <c r="C328" s="5"/>
      <c r="D328" s="5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5"/>
      <c r="B329" s="5"/>
      <c r="C329" s="5"/>
      <c r="D329" s="5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5"/>
      <c r="B330" s="5"/>
      <c r="C330" s="5"/>
      <c r="D330" s="5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5"/>
      <c r="B331" s="5"/>
      <c r="C331" s="5"/>
      <c r="D331" s="5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5"/>
      <c r="B332" s="5"/>
      <c r="C332" s="5"/>
      <c r="D332" s="5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5"/>
      <c r="B333" s="5"/>
      <c r="C333" s="5"/>
      <c r="D333" s="5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5"/>
      <c r="B334" s="5"/>
      <c r="C334" s="5"/>
      <c r="D334" s="5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5"/>
      <c r="B335" s="5"/>
      <c r="C335" s="5"/>
      <c r="D335" s="5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5"/>
      <c r="B336" s="5"/>
      <c r="C336" s="5"/>
      <c r="D336" s="5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5"/>
      <c r="B337" s="5"/>
      <c r="C337" s="5"/>
      <c r="D337" s="5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5"/>
      <c r="B338" s="5"/>
      <c r="C338" s="5"/>
      <c r="D338" s="5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5"/>
      <c r="B339" s="5"/>
      <c r="C339" s="5"/>
      <c r="D339" s="5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5"/>
      <c r="B340" s="5"/>
      <c r="C340" s="5"/>
      <c r="D340" s="5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5"/>
      <c r="B341" s="5"/>
      <c r="C341" s="5"/>
      <c r="D341" s="5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5"/>
      <c r="B342" s="5"/>
      <c r="C342" s="5"/>
      <c r="D342" s="5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5"/>
      <c r="B343" s="5"/>
      <c r="C343" s="5"/>
      <c r="D343" s="5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5"/>
      <c r="B344" s="5"/>
      <c r="C344" s="5"/>
      <c r="D344" s="5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5"/>
      <c r="B345" s="5"/>
      <c r="C345" s="5"/>
      <c r="D345" s="5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5"/>
      <c r="B346" s="5"/>
      <c r="C346" s="5"/>
      <c r="D346" s="5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5"/>
      <c r="B347" s="5"/>
      <c r="C347" s="5"/>
      <c r="D347" s="5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5"/>
      <c r="B348" s="5"/>
      <c r="C348" s="5"/>
      <c r="D348" s="5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5"/>
      <c r="B349" s="5"/>
      <c r="C349" s="5"/>
      <c r="D349" s="5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5"/>
      <c r="B350" s="5"/>
      <c r="C350" s="5"/>
      <c r="D350" s="5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5"/>
      <c r="B351" s="5"/>
      <c r="C351" s="5"/>
      <c r="D351" s="5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5"/>
      <c r="B352" s="5"/>
      <c r="C352" s="5"/>
      <c r="D352" s="5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5"/>
      <c r="B353" s="5"/>
      <c r="C353" s="5"/>
      <c r="D353" s="5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5"/>
      <c r="B354" s="5"/>
      <c r="C354" s="5"/>
      <c r="D354" s="5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5"/>
      <c r="B355" s="5"/>
      <c r="C355" s="5"/>
      <c r="D355" s="5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5"/>
      <c r="B356" s="5"/>
      <c r="C356" s="5"/>
      <c r="D356" s="5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5"/>
      <c r="B357" s="5"/>
      <c r="C357" s="5"/>
      <c r="D357" s="5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5"/>
      <c r="B358" s="5"/>
      <c r="C358" s="5"/>
      <c r="D358" s="5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5"/>
      <c r="B359" s="5"/>
      <c r="C359" s="5"/>
      <c r="D359" s="5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5"/>
      <c r="B360" s="5"/>
      <c r="C360" s="5"/>
      <c r="D360" s="5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5"/>
      <c r="B361" s="5"/>
      <c r="C361" s="5"/>
      <c r="D361" s="5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5"/>
      <c r="B362" s="5"/>
      <c r="C362" s="5"/>
      <c r="D362" s="5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5"/>
      <c r="B363" s="5"/>
      <c r="C363" s="5"/>
      <c r="D363" s="5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5"/>
      <c r="B364" s="5"/>
      <c r="C364" s="5"/>
      <c r="D364" s="5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5"/>
      <c r="B365" s="5"/>
      <c r="C365" s="5"/>
      <c r="D365" s="5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5"/>
      <c r="B366" s="5"/>
      <c r="C366" s="5"/>
      <c r="D366" s="5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5"/>
      <c r="B367" s="5"/>
      <c r="C367" s="5"/>
      <c r="D367" s="5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5"/>
      <c r="B368" s="5"/>
      <c r="C368" s="5"/>
      <c r="D368" s="5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5"/>
      <c r="B369" s="5"/>
      <c r="C369" s="5"/>
      <c r="D369" s="5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5"/>
      <c r="B370" s="5"/>
      <c r="C370" s="5"/>
      <c r="D370" s="5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5"/>
      <c r="B371" s="5"/>
      <c r="C371" s="5"/>
      <c r="D371" s="5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5"/>
      <c r="B372" s="5"/>
      <c r="C372" s="5"/>
      <c r="D372" s="5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5"/>
      <c r="B373" s="5"/>
      <c r="C373" s="5"/>
      <c r="D373" s="5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5"/>
      <c r="B374" s="5"/>
      <c r="C374" s="5"/>
      <c r="D374" s="5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5"/>
      <c r="B375" s="5"/>
      <c r="C375" s="5"/>
      <c r="D375" s="5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5"/>
      <c r="B376" s="5"/>
      <c r="C376" s="5"/>
      <c r="D376" s="5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5"/>
      <c r="B377" s="5"/>
      <c r="C377" s="5"/>
      <c r="D377" s="5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5"/>
      <c r="B378" s="5"/>
      <c r="C378" s="5"/>
      <c r="D378" s="5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5"/>
      <c r="B379" s="5"/>
      <c r="C379" s="5"/>
      <c r="D379" s="5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5"/>
      <c r="B380" s="5"/>
      <c r="C380" s="5"/>
      <c r="D380" s="5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5"/>
      <c r="B381" s="5"/>
      <c r="C381" s="5"/>
      <c r="D381" s="5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5"/>
      <c r="B382" s="5"/>
      <c r="C382" s="5"/>
      <c r="D382" s="5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5"/>
      <c r="B383" s="5"/>
      <c r="C383" s="5"/>
      <c r="D383" s="5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5"/>
      <c r="B384" s="5"/>
      <c r="C384" s="5"/>
      <c r="D384" s="5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5"/>
      <c r="B385" s="5"/>
      <c r="C385" s="5"/>
      <c r="D385" s="5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5"/>
      <c r="B386" s="5"/>
      <c r="C386" s="5"/>
      <c r="D386" s="5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5"/>
      <c r="B387" s="5"/>
      <c r="C387" s="5"/>
      <c r="D387" s="5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5"/>
      <c r="B388" s="5"/>
      <c r="C388" s="5"/>
      <c r="D388" s="5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5"/>
      <c r="B389" s="5"/>
      <c r="C389" s="5"/>
      <c r="D389" s="5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5"/>
      <c r="B390" s="5"/>
      <c r="C390" s="5"/>
      <c r="D390" s="5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5"/>
      <c r="B391" s="5"/>
      <c r="C391" s="5"/>
      <c r="D391" s="5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5"/>
      <c r="B392" s="5"/>
      <c r="C392" s="5"/>
      <c r="D392" s="5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5"/>
      <c r="B393" s="5"/>
      <c r="C393" s="5"/>
      <c r="D393" s="5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5"/>
      <c r="B394" s="5"/>
      <c r="C394" s="5"/>
      <c r="D394" s="5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5"/>
      <c r="B395" s="5"/>
      <c r="C395" s="5"/>
      <c r="D395" s="5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5"/>
      <c r="B396" s="5"/>
      <c r="C396" s="5"/>
      <c r="D396" s="5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5"/>
      <c r="B397" s="5"/>
      <c r="C397" s="5"/>
      <c r="D397" s="5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5"/>
      <c r="B398" s="5"/>
      <c r="C398" s="5"/>
      <c r="D398" s="5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5"/>
      <c r="B399" s="5"/>
      <c r="C399" s="5"/>
      <c r="D399" s="5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5"/>
      <c r="B400" s="5"/>
      <c r="C400" s="5"/>
      <c r="D400" s="5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5"/>
      <c r="B401" s="5"/>
      <c r="C401" s="5"/>
      <c r="D401" s="5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5"/>
      <c r="B402" s="5"/>
      <c r="C402" s="5"/>
      <c r="D402" s="5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5"/>
      <c r="B403" s="5"/>
      <c r="C403" s="5"/>
      <c r="D403" s="5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5"/>
      <c r="B404" s="5"/>
      <c r="C404" s="5"/>
      <c r="D404" s="5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5"/>
      <c r="B405" s="5"/>
      <c r="C405" s="5"/>
      <c r="D405" s="5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5"/>
      <c r="B406" s="5"/>
      <c r="C406" s="5"/>
      <c r="D406" s="5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5"/>
      <c r="B407" s="5"/>
      <c r="C407" s="5"/>
      <c r="D407" s="5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5"/>
      <c r="B408" s="5"/>
      <c r="C408" s="5"/>
      <c r="D408" s="5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5"/>
      <c r="B409" s="5"/>
      <c r="C409" s="5"/>
      <c r="D409" s="5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5"/>
      <c r="B410" s="5"/>
      <c r="C410" s="5"/>
      <c r="D410" s="5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5"/>
      <c r="B411" s="5"/>
      <c r="C411" s="5"/>
      <c r="D411" s="5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5"/>
      <c r="B412" s="5"/>
      <c r="C412" s="5"/>
      <c r="D412" s="5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5"/>
      <c r="B413" s="5"/>
      <c r="C413" s="5"/>
      <c r="D413" s="5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5"/>
      <c r="B414" s="5"/>
      <c r="C414" s="5"/>
      <c r="D414" s="5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5"/>
      <c r="B415" s="5"/>
      <c r="C415" s="5"/>
      <c r="D415" s="5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5"/>
      <c r="B416" s="5"/>
      <c r="C416" s="5"/>
      <c r="D416" s="5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5"/>
      <c r="B417" s="5"/>
      <c r="C417" s="5"/>
      <c r="D417" s="5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5"/>
      <c r="B418" s="5"/>
      <c r="C418" s="5"/>
      <c r="D418" s="5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5"/>
      <c r="B419" s="5"/>
      <c r="C419" s="5"/>
      <c r="D419" s="5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5"/>
      <c r="B420" s="5"/>
      <c r="C420" s="5"/>
      <c r="D420" s="5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5"/>
      <c r="B421" s="5"/>
      <c r="C421" s="5"/>
      <c r="D421" s="5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5"/>
      <c r="B422" s="5"/>
      <c r="C422" s="5"/>
      <c r="D422" s="5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5"/>
      <c r="B423" s="5"/>
      <c r="C423" s="5"/>
      <c r="D423" s="5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5"/>
      <c r="B424" s="5"/>
      <c r="C424" s="5"/>
      <c r="D424" s="5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5"/>
      <c r="B425" s="5"/>
      <c r="C425" s="5"/>
      <c r="D425" s="5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5"/>
      <c r="B426" s="5"/>
      <c r="C426" s="5"/>
      <c r="D426" s="5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5"/>
      <c r="B427" s="5"/>
      <c r="C427" s="5"/>
      <c r="D427" s="5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5"/>
      <c r="B428" s="5"/>
      <c r="C428" s="5"/>
      <c r="D428" s="5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5"/>
      <c r="B429" s="5"/>
      <c r="C429" s="5"/>
      <c r="D429" s="5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5"/>
      <c r="B430" s="5"/>
      <c r="C430" s="5"/>
      <c r="D430" s="5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5"/>
      <c r="B431" s="5"/>
      <c r="C431" s="5"/>
      <c r="D431" s="5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5"/>
      <c r="B432" s="5"/>
      <c r="C432" s="5"/>
      <c r="D432" s="5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5"/>
      <c r="B433" s="5"/>
      <c r="C433" s="5"/>
      <c r="D433" s="5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5"/>
      <c r="B434" s="5"/>
      <c r="C434" s="5"/>
      <c r="D434" s="5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5"/>
      <c r="B435" s="5"/>
      <c r="C435" s="5"/>
      <c r="D435" s="5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5"/>
      <c r="B436" s="5"/>
      <c r="C436" s="5"/>
      <c r="D436" s="5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5"/>
      <c r="B437" s="5"/>
      <c r="C437" s="5"/>
      <c r="D437" s="5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5"/>
      <c r="B438" s="5"/>
      <c r="C438" s="5"/>
      <c r="D438" s="5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5"/>
      <c r="B439" s="5"/>
      <c r="C439" s="5"/>
      <c r="D439" s="5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5"/>
      <c r="B440" s="5"/>
      <c r="C440" s="5"/>
      <c r="D440" s="5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5"/>
      <c r="B441" s="5"/>
      <c r="C441" s="5"/>
      <c r="D441" s="5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5"/>
      <c r="B442" s="5"/>
      <c r="C442" s="5"/>
      <c r="D442" s="5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5"/>
      <c r="B443" s="5"/>
      <c r="C443" s="5"/>
      <c r="D443" s="5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5"/>
      <c r="B444" s="5"/>
      <c r="C444" s="5"/>
      <c r="D444" s="5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5"/>
      <c r="B445" s="5"/>
      <c r="C445" s="5"/>
      <c r="D445" s="5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5"/>
      <c r="B446" s="5"/>
      <c r="C446" s="5"/>
      <c r="D446" s="5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5"/>
      <c r="B447" s="5"/>
      <c r="C447" s="5"/>
      <c r="D447" s="5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5"/>
      <c r="B448" s="5"/>
      <c r="C448" s="5"/>
      <c r="D448" s="5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5"/>
      <c r="B449" s="5"/>
      <c r="C449" s="5"/>
      <c r="D449" s="5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5"/>
      <c r="B450" s="5"/>
      <c r="C450" s="5"/>
      <c r="D450" s="5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5"/>
      <c r="B451" s="5"/>
      <c r="C451" s="5"/>
      <c r="D451" s="5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5"/>
      <c r="B452" s="5"/>
      <c r="C452" s="5"/>
      <c r="D452" s="5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5"/>
      <c r="B453" s="5"/>
      <c r="C453" s="5"/>
      <c r="D453" s="5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5"/>
      <c r="B454" s="5"/>
      <c r="C454" s="5"/>
      <c r="D454" s="5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5"/>
      <c r="B455" s="5"/>
      <c r="C455" s="5"/>
      <c r="D455" s="5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5"/>
      <c r="B456" s="5"/>
      <c r="C456" s="5"/>
      <c r="D456" s="5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5"/>
      <c r="B457" s="5"/>
      <c r="C457" s="5"/>
      <c r="D457" s="5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5"/>
      <c r="B458" s="5"/>
      <c r="C458" s="5"/>
      <c r="D458" s="5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5"/>
      <c r="B459" s="5"/>
      <c r="C459" s="5"/>
      <c r="D459" s="5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5"/>
      <c r="B460" s="5"/>
      <c r="C460" s="5"/>
      <c r="D460" s="5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5"/>
      <c r="B461" s="5"/>
      <c r="C461" s="5"/>
      <c r="D461" s="5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5"/>
      <c r="B462" s="5"/>
      <c r="C462" s="5"/>
      <c r="D462" s="5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5"/>
      <c r="B463" s="5"/>
      <c r="C463" s="5"/>
      <c r="D463" s="5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5"/>
      <c r="B464" s="5"/>
      <c r="C464" s="5"/>
      <c r="D464" s="5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5"/>
      <c r="B465" s="5"/>
      <c r="C465" s="5"/>
      <c r="D465" s="5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5"/>
      <c r="B466" s="5"/>
      <c r="C466" s="5"/>
      <c r="D466" s="5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5"/>
      <c r="B467" s="5"/>
      <c r="C467" s="5"/>
      <c r="D467" s="5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5"/>
      <c r="B468" s="5"/>
      <c r="C468" s="5"/>
      <c r="D468" s="5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5"/>
      <c r="B469" s="5"/>
      <c r="C469" s="5"/>
      <c r="D469" s="5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5"/>
      <c r="B470" s="5"/>
      <c r="C470" s="5"/>
      <c r="D470" s="5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5"/>
      <c r="B471" s="5"/>
      <c r="C471" s="5"/>
      <c r="D471" s="5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5"/>
      <c r="B472" s="5"/>
      <c r="C472" s="5"/>
      <c r="D472" s="5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5"/>
      <c r="B473" s="5"/>
      <c r="C473" s="5"/>
      <c r="D473" s="5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5"/>
      <c r="B474" s="5"/>
      <c r="C474" s="5"/>
      <c r="D474" s="5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5"/>
      <c r="B475" s="5"/>
      <c r="C475" s="5"/>
      <c r="D475" s="5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5"/>
      <c r="B476" s="5"/>
      <c r="C476" s="5"/>
      <c r="D476" s="5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5"/>
      <c r="B477" s="5"/>
      <c r="C477" s="5"/>
      <c r="D477" s="5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5"/>
      <c r="B478" s="5"/>
      <c r="C478" s="5"/>
      <c r="D478" s="5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5"/>
      <c r="B479" s="5"/>
      <c r="C479" s="5"/>
      <c r="D479" s="5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5"/>
      <c r="B480" s="5"/>
      <c r="C480" s="5"/>
      <c r="D480" s="5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5"/>
      <c r="B481" s="5"/>
      <c r="C481" s="5"/>
      <c r="D481" s="5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5"/>
      <c r="B482" s="5"/>
      <c r="C482" s="5"/>
      <c r="D482" s="5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5"/>
      <c r="B483" s="5"/>
      <c r="C483" s="5"/>
      <c r="D483" s="5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5"/>
      <c r="B484" s="5"/>
      <c r="C484" s="5"/>
      <c r="D484" s="5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5"/>
      <c r="B485" s="5"/>
      <c r="C485" s="5"/>
      <c r="D485" s="5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5"/>
      <c r="B486" s="5"/>
      <c r="C486" s="5"/>
      <c r="D486" s="5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5"/>
      <c r="B487" s="5"/>
      <c r="C487" s="5"/>
      <c r="D487" s="5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5"/>
      <c r="B488" s="5"/>
      <c r="C488" s="5"/>
      <c r="D488" s="5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5"/>
      <c r="B489" s="5"/>
      <c r="C489" s="5"/>
      <c r="D489" s="5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5"/>
      <c r="B490" s="5"/>
      <c r="C490" s="5"/>
      <c r="D490" s="5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5"/>
      <c r="B491" s="5"/>
      <c r="C491" s="5"/>
      <c r="D491" s="5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5"/>
      <c r="B492" s="5"/>
      <c r="C492" s="5"/>
      <c r="D492" s="5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5"/>
      <c r="B493" s="5"/>
      <c r="C493" s="5"/>
      <c r="D493" s="5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5"/>
      <c r="B494" s="5"/>
      <c r="C494" s="5"/>
      <c r="D494" s="5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5"/>
      <c r="B495" s="5"/>
      <c r="C495" s="5"/>
      <c r="D495" s="5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5"/>
      <c r="B496" s="5"/>
      <c r="C496" s="5"/>
      <c r="D496" s="5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5"/>
      <c r="B497" s="5"/>
      <c r="C497" s="5"/>
      <c r="D497" s="5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5"/>
      <c r="B498" s="5"/>
      <c r="C498" s="5"/>
      <c r="D498" s="5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5"/>
      <c r="B499" s="5"/>
      <c r="C499" s="5"/>
      <c r="D499" s="5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5"/>
      <c r="B500" s="5"/>
      <c r="C500" s="5"/>
      <c r="D500" s="5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5"/>
      <c r="B501" s="5"/>
      <c r="C501" s="5"/>
      <c r="D501" s="5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5"/>
      <c r="B502" s="5"/>
      <c r="C502" s="5"/>
      <c r="D502" s="5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5"/>
      <c r="B503" s="5"/>
      <c r="C503" s="5"/>
      <c r="D503" s="5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5"/>
      <c r="B504" s="5"/>
      <c r="C504" s="5"/>
      <c r="D504" s="5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5"/>
      <c r="B505" s="5"/>
      <c r="C505" s="5"/>
      <c r="D505" s="5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5"/>
      <c r="B506" s="5"/>
      <c r="C506" s="5"/>
      <c r="D506" s="5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5"/>
      <c r="B507" s="5"/>
      <c r="C507" s="5"/>
      <c r="D507" s="5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5"/>
      <c r="B508" s="5"/>
      <c r="C508" s="5"/>
      <c r="D508" s="5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5"/>
      <c r="B509" s="5"/>
      <c r="C509" s="5"/>
      <c r="D509" s="5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5"/>
      <c r="B510" s="5"/>
      <c r="C510" s="5"/>
      <c r="D510" s="5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5"/>
      <c r="B511" s="5"/>
      <c r="C511" s="5"/>
      <c r="D511" s="5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5"/>
      <c r="B512" s="5"/>
      <c r="C512" s="5"/>
      <c r="D512" s="5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5"/>
      <c r="B513" s="5"/>
      <c r="C513" s="5"/>
      <c r="D513" s="5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5"/>
      <c r="B514" s="5"/>
      <c r="C514" s="5"/>
      <c r="D514" s="5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5"/>
      <c r="B515" s="5"/>
      <c r="C515" s="5"/>
      <c r="D515" s="5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5"/>
      <c r="B516" s="5"/>
      <c r="C516" s="5"/>
      <c r="D516" s="5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5"/>
      <c r="B517" s="5"/>
      <c r="C517" s="5"/>
      <c r="D517" s="5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5"/>
      <c r="B518" s="5"/>
      <c r="C518" s="5"/>
      <c r="D518" s="5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5"/>
      <c r="B519" s="5"/>
      <c r="C519" s="5"/>
      <c r="D519" s="5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5"/>
      <c r="B520" s="5"/>
      <c r="C520" s="5"/>
      <c r="D520" s="5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5"/>
      <c r="B521" s="5"/>
      <c r="C521" s="5"/>
      <c r="D521" s="5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5"/>
      <c r="B522" s="5"/>
      <c r="C522" s="5"/>
      <c r="D522" s="5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5"/>
      <c r="B523" s="5"/>
      <c r="C523" s="5"/>
      <c r="D523" s="5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5"/>
      <c r="B524" s="5"/>
      <c r="C524" s="5"/>
      <c r="D524" s="5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5"/>
      <c r="B525" s="5"/>
      <c r="C525" s="5"/>
      <c r="D525" s="5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5"/>
      <c r="B526" s="5"/>
      <c r="C526" s="5"/>
      <c r="D526" s="5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5"/>
      <c r="B527" s="5"/>
      <c r="C527" s="5"/>
      <c r="D527" s="5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5"/>
      <c r="B528" s="5"/>
      <c r="C528" s="5"/>
      <c r="D528" s="5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5"/>
      <c r="B529" s="5"/>
      <c r="C529" s="5"/>
      <c r="D529" s="5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5"/>
      <c r="B530" s="5"/>
      <c r="C530" s="5"/>
      <c r="D530" s="5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5"/>
      <c r="B531" s="5"/>
      <c r="C531" s="5"/>
      <c r="D531" s="5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5"/>
      <c r="B532" s="5"/>
      <c r="C532" s="5"/>
      <c r="D532" s="5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5"/>
      <c r="B533" s="5"/>
      <c r="C533" s="5"/>
      <c r="D533" s="5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5"/>
      <c r="B534" s="5"/>
      <c r="C534" s="5"/>
      <c r="D534" s="5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5"/>
      <c r="B535" s="5"/>
      <c r="C535" s="5"/>
      <c r="D535" s="5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5"/>
      <c r="B536" s="5"/>
      <c r="C536" s="5"/>
      <c r="D536" s="5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5"/>
      <c r="B537" s="5"/>
      <c r="C537" s="5"/>
      <c r="D537" s="5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5"/>
      <c r="B538" s="5"/>
      <c r="C538" s="5"/>
      <c r="D538" s="5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5"/>
      <c r="B539" s="5"/>
      <c r="C539" s="5"/>
      <c r="D539" s="5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5"/>
      <c r="B540" s="5"/>
      <c r="C540" s="5"/>
      <c r="D540" s="5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5"/>
      <c r="B541" s="5"/>
      <c r="C541" s="5"/>
      <c r="D541" s="5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5"/>
      <c r="B542" s="5"/>
      <c r="C542" s="5"/>
      <c r="D542" s="5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5"/>
      <c r="B543" s="5"/>
      <c r="C543" s="5"/>
      <c r="D543" s="5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5"/>
      <c r="B544" s="5"/>
      <c r="C544" s="5"/>
      <c r="D544" s="5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5"/>
      <c r="B545" s="5"/>
      <c r="C545" s="5"/>
      <c r="D545" s="5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5"/>
      <c r="B546" s="5"/>
      <c r="C546" s="5"/>
      <c r="D546" s="5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5"/>
      <c r="B547" s="5"/>
      <c r="C547" s="5"/>
      <c r="D547" s="5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5"/>
      <c r="B548" s="5"/>
      <c r="C548" s="5"/>
      <c r="D548" s="5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5"/>
      <c r="B549" s="5"/>
      <c r="C549" s="5"/>
      <c r="D549" s="5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5"/>
      <c r="B550" s="5"/>
      <c r="C550" s="5"/>
      <c r="D550" s="5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5"/>
      <c r="B551" s="5"/>
      <c r="C551" s="5"/>
      <c r="D551" s="5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5"/>
      <c r="B552" s="5"/>
      <c r="C552" s="5"/>
      <c r="D552" s="5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5"/>
      <c r="B553" s="5"/>
      <c r="C553" s="5"/>
      <c r="D553" s="5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5"/>
      <c r="B554" s="5"/>
      <c r="C554" s="5"/>
      <c r="D554" s="5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5"/>
      <c r="B555" s="5"/>
      <c r="C555" s="5"/>
      <c r="D555" s="5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5"/>
      <c r="B556" s="5"/>
      <c r="C556" s="5"/>
      <c r="D556" s="5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5"/>
      <c r="B557" s="5"/>
      <c r="C557" s="5"/>
      <c r="D557" s="5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5"/>
      <c r="B558" s="5"/>
      <c r="C558" s="5"/>
      <c r="D558" s="5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5"/>
      <c r="B559" s="5"/>
      <c r="C559" s="5"/>
      <c r="D559" s="5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5"/>
      <c r="B560" s="5"/>
      <c r="C560" s="5"/>
      <c r="D560" s="5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5"/>
      <c r="B561" s="5"/>
      <c r="C561" s="5"/>
      <c r="D561" s="5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5"/>
      <c r="B562" s="5"/>
      <c r="C562" s="5"/>
      <c r="D562" s="5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5"/>
      <c r="B563" s="5"/>
      <c r="C563" s="5"/>
      <c r="D563" s="5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5"/>
      <c r="B564" s="5"/>
      <c r="C564" s="5"/>
      <c r="D564" s="5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5"/>
      <c r="B565" s="5"/>
      <c r="C565" s="5"/>
      <c r="D565" s="5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5"/>
      <c r="B566" s="5"/>
      <c r="C566" s="5"/>
      <c r="D566" s="5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5"/>
      <c r="B567" s="5"/>
      <c r="C567" s="5"/>
      <c r="D567" s="5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5"/>
      <c r="B568" s="5"/>
      <c r="C568" s="5"/>
      <c r="D568" s="5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5"/>
      <c r="B569" s="5"/>
      <c r="C569" s="5"/>
      <c r="D569" s="5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5"/>
      <c r="B570" s="5"/>
      <c r="C570" s="5"/>
      <c r="D570" s="5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5"/>
      <c r="B571" s="5"/>
      <c r="C571" s="5"/>
      <c r="D571" s="5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5"/>
      <c r="B572" s="5"/>
      <c r="C572" s="5"/>
      <c r="D572" s="5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5"/>
      <c r="B573" s="5"/>
      <c r="C573" s="5"/>
      <c r="D573" s="5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5"/>
      <c r="B574" s="5"/>
      <c r="C574" s="5"/>
      <c r="D574" s="5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5"/>
      <c r="B575" s="5"/>
      <c r="C575" s="5"/>
      <c r="D575" s="5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5"/>
      <c r="B576" s="5"/>
      <c r="C576" s="5"/>
      <c r="D576" s="5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5"/>
      <c r="B577" s="5"/>
      <c r="C577" s="5"/>
      <c r="D577" s="5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5"/>
      <c r="B578" s="5"/>
      <c r="C578" s="5"/>
      <c r="D578" s="5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5"/>
      <c r="B579" s="5"/>
      <c r="C579" s="5"/>
      <c r="D579" s="5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5"/>
      <c r="B580" s="5"/>
      <c r="C580" s="5"/>
      <c r="D580" s="5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5"/>
      <c r="B581" s="5"/>
      <c r="C581" s="5"/>
      <c r="D581" s="5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5"/>
      <c r="B582" s="5"/>
      <c r="C582" s="5"/>
      <c r="D582" s="5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5"/>
      <c r="B583" s="5"/>
      <c r="C583" s="5"/>
      <c r="D583" s="5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5"/>
      <c r="B584" s="5"/>
      <c r="C584" s="5"/>
      <c r="D584" s="5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5"/>
      <c r="B585" s="5"/>
      <c r="C585" s="5"/>
      <c r="D585" s="5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5"/>
      <c r="B586" s="5"/>
      <c r="C586" s="5"/>
      <c r="D586" s="5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5"/>
      <c r="B587" s="5"/>
      <c r="C587" s="5"/>
      <c r="D587" s="5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5"/>
      <c r="B588" s="5"/>
      <c r="C588" s="5"/>
      <c r="D588" s="5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5"/>
      <c r="B589" s="5"/>
      <c r="C589" s="5"/>
      <c r="D589" s="5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5"/>
      <c r="B590" s="5"/>
      <c r="C590" s="5"/>
      <c r="D590" s="5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5"/>
      <c r="B591" s="5"/>
      <c r="C591" s="5"/>
      <c r="D591" s="5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5"/>
      <c r="B592" s="5"/>
      <c r="C592" s="5"/>
      <c r="D592" s="5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5"/>
      <c r="B593" s="5"/>
      <c r="C593" s="5"/>
      <c r="D593" s="5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5"/>
      <c r="B594" s="5"/>
      <c r="C594" s="5"/>
      <c r="D594" s="5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5"/>
      <c r="B595" s="5"/>
      <c r="C595" s="5"/>
      <c r="D595" s="5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5"/>
      <c r="B596" s="5"/>
      <c r="C596" s="5"/>
      <c r="D596" s="5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5"/>
      <c r="B597" s="5"/>
      <c r="C597" s="5"/>
      <c r="D597" s="5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5"/>
      <c r="B598" s="5"/>
      <c r="C598" s="5"/>
      <c r="D598" s="5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5"/>
      <c r="B599" s="5"/>
      <c r="C599" s="5"/>
      <c r="D599" s="5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5"/>
      <c r="B600" s="5"/>
      <c r="C600" s="5"/>
      <c r="D600" s="5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5"/>
      <c r="B601" s="5"/>
      <c r="C601" s="5"/>
      <c r="D601" s="5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5"/>
      <c r="B602" s="5"/>
      <c r="C602" s="5"/>
      <c r="D602" s="5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5"/>
      <c r="B603" s="5"/>
      <c r="C603" s="5"/>
      <c r="D603" s="5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5"/>
      <c r="B604" s="5"/>
      <c r="C604" s="5"/>
      <c r="D604" s="5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5"/>
      <c r="B605" s="5"/>
      <c r="C605" s="5"/>
      <c r="D605" s="5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5"/>
      <c r="B606" s="5"/>
      <c r="C606" s="5"/>
      <c r="D606" s="5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5"/>
      <c r="B607" s="5"/>
      <c r="C607" s="5"/>
      <c r="D607" s="5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5"/>
      <c r="B608" s="5"/>
      <c r="C608" s="5"/>
      <c r="D608" s="5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5"/>
      <c r="B609" s="5"/>
      <c r="C609" s="5"/>
      <c r="D609" s="5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5"/>
      <c r="B610" s="5"/>
      <c r="C610" s="5"/>
      <c r="D610" s="5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5"/>
      <c r="B611" s="5"/>
      <c r="C611" s="5"/>
      <c r="D611" s="5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5"/>
      <c r="B612" s="5"/>
      <c r="C612" s="5"/>
      <c r="D612" s="5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5"/>
      <c r="B613" s="5"/>
      <c r="C613" s="5"/>
      <c r="D613" s="5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5"/>
      <c r="B614" s="5"/>
      <c r="C614" s="5"/>
      <c r="D614" s="5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5"/>
      <c r="B615" s="5"/>
      <c r="C615" s="5"/>
      <c r="D615" s="5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5"/>
      <c r="B616" s="5"/>
      <c r="C616" s="5"/>
      <c r="D616" s="5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5"/>
      <c r="B617" s="5"/>
      <c r="C617" s="5"/>
      <c r="D617" s="5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5"/>
      <c r="B618" s="5"/>
      <c r="C618" s="5"/>
      <c r="D618" s="5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5"/>
      <c r="B619" s="5"/>
      <c r="C619" s="5"/>
      <c r="D619" s="5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5"/>
      <c r="B620" s="5"/>
      <c r="C620" s="5"/>
      <c r="D620" s="5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5"/>
      <c r="B621" s="5"/>
      <c r="C621" s="5"/>
      <c r="D621" s="5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5"/>
      <c r="B622" s="5"/>
      <c r="C622" s="5"/>
      <c r="D622" s="5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5"/>
      <c r="B623" s="5"/>
      <c r="C623" s="5"/>
      <c r="D623" s="5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5"/>
      <c r="B624" s="5"/>
      <c r="C624" s="5"/>
      <c r="D624" s="5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5"/>
      <c r="B625" s="5"/>
      <c r="C625" s="5"/>
      <c r="D625" s="5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5"/>
      <c r="B626" s="5"/>
      <c r="C626" s="5"/>
      <c r="D626" s="5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5"/>
      <c r="B627" s="5"/>
      <c r="C627" s="5"/>
      <c r="D627" s="5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5"/>
      <c r="B628" s="5"/>
      <c r="C628" s="5"/>
      <c r="D628" s="5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5"/>
      <c r="B629" s="5"/>
      <c r="C629" s="5"/>
      <c r="D629" s="5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5"/>
      <c r="B630" s="5"/>
      <c r="C630" s="5"/>
      <c r="D630" s="5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5"/>
      <c r="B631" s="5"/>
      <c r="C631" s="5"/>
      <c r="D631" s="5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5"/>
      <c r="B632" s="5"/>
      <c r="C632" s="5"/>
      <c r="D632" s="5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5"/>
      <c r="B633" s="5"/>
      <c r="C633" s="5"/>
      <c r="D633" s="5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5"/>
      <c r="B634" s="5"/>
      <c r="C634" s="5"/>
      <c r="D634" s="5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5"/>
      <c r="B635" s="5"/>
      <c r="C635" s="5"/>
      <c r="D635" s="5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5"/>
      <c r="B636" s="5"/>
      <c r="C636" s="5"/>
      <c r="D636" s="5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5"/>
      <c r="B637" s="5"/>
      <c r="C637" s="5"/>
      <c r="D637" s="5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5"/>
      <c r="B638" s="5"/>
      <c r="C638" s="5"/>
      <c r="D638" s="5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5"/>
      <c r="B639" s="5"/>
      <c r="C639" s="5"/>
      <c r="D639" s="5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5"/>
      <c r="B640" s="5"/>
      <c r="C640" s="5"/>
      <c r="D640" s="5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5"/>
      <c r="B641" s="5"/>
      <c r="C641" s="5"/>
      <c r="D641" s="5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5"/>
      <c r="B642" s="5"/>
      <c r="C642" s="5"/>
      <c r="D642" s="5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5"/>
      <c r="B643" s="5"/>
      <c r="C643" s="5"/>
      <c r="D643" s="5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5"/>
      <c r="B644" s="5"/>
      <c r="C644" s="5"/>
      <c r="D644" s="5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5"/>
      <c r="B645" s="5"/>
      <c r="C645" s="5"/>
      <c r="D645" s="5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5"/>
      <c r="B646" s="5"/>
      <c r="C646" s="5"/>
      <c r="D646" s="5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5"/>
      <c r="B647" s="5"/>
      <c r="C647" s="5"/>
      <c r="D647" s="5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5"/>
      <c r="B648" s="5"/>
      <c r="C648" s="5"/>
      <c r="D648" s="5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5"/>
      <c r="B649" s="5"/>
      <c r="C649" s="5"/>
      <c r="D649" s="5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5"/>
      <c r="B650" s="5"/>
      <c r="C650" s="5"/>
      <c r="D650" s="5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5"/>
      <c r="B651" s="5"/>
      <c r="C651" s="5"/>
      <c r="D651" s="5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5"/>
      <c r="B652" s="5"/>
      <c r="C652" s="5"/>
      <c r="D652" s="5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5"/>
      <c r="B653" s="5"/>
      <c r="C653" s="5"/>
      <c r="D653" s="5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5"/>
      <c r="B654" s="5"/>
      <c r="C654" s="5"/>
      <c r="D654" s="5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5"/>
      <c r="B655" s="5"/>
      <c r="C655" s="5"/>
      <c r="D655" s="5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5"/>
      <c r="B656" s="5"/>
      <c r="C656" s="5"/>
      <c r="D656" s="5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5"/>
      <c r="B657" s="5"/>
      <c r="C657" s="5"/>
      <c r="D657" s="5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5"/>
      <c r="B658" s="5"/>
      <c r="C658" s="5"/>
      <c r="D658" s="5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5"/>
      <c r="B659" s="5"/>
      <c r="C659" s="5"/>
      <c r="D659" s="5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5"/>
      <c r="B660" s="5"/>
      <c r="C660" s="5"/>
      <c r="D660" s="5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5"/>
      <c r="B661" s="5"/>
      <c r="C661" s="5"/>
      <c r="D661" s="5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5"/>
      <c r="B662" s="5"/>
      <c r="C662" s="5"/>
      <c r="D662" s="5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5"/>
      <c r="B663" s="5"/>
      <c r="C663" s="5"/>
      <c r="D663" s="5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5"/>
      <c r="B664" s="5"/>
      <c r="C664" s="5"/>
      <c r="D664" s="5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5"/>
      <c r="B665" s="5"/>
      <c r="C665" s="5"/>
      <c r="D665" s="5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5"/>
      <c r="B666" s="5"/>
      <c r="C666" s="5"/>
      <c r="D666" s="5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5"/>
      <c r="B667" s="5"/>
      <c r="C667" s="5"/>
      <c r="D667" s="5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5"/>
      <c r="B668" s="5"/>
      <c r="C668" s="5"/>
      <c r="D668" s="5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5"/>
      <c r="B669" s="5"/>
      <c r="C669" s="5"/>
      <c r="D669" s="5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5"/>
      <c r="B670" s="5"/>
      <c r="C670" s="5"/>
      <c r="D670" s="5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5"/>
      <c r="B671" s="5"/>
      <c r="C671" s="5"/>
      <c r="D671" s="5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5"/>
      <c r="B672" s="5"/>
      <c r="C672" s="5"/>
      <c r="D672" s="5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5"/>
      <c r="B673" s="5"/>
      <c r="C673" s="5"/>
      <c r="D673" s="5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5"/>
      <c r="B674" s="5"/>
      <c r="C674" s="5"/>
      <c r="D674" s="5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5"/>
      <c r="B675" s="5"/>
      <c r="C675" s="5"/>
      <c r="D675" s="5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5"/>
      <c r="B676" s="5"/>
      <c r="C676" s="5"/>
      <c r="D676" s="5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5"/>
      <c r="B677" s="5"/>
      <c r="C677" s="5"/>
      <c r="D677" s="5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5"/>
      <c r="B678" s="5"/>
      <c r="C678" s="5"/>
      <c r="D678" s="5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5"/>
      <c r="B679" s="5"/>
      <c r="C679" s="5"/>
      <c r="D679" s="5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5"/>
      <c r="B680" s="5"/>
      <c r="C680" s="5"/>
      <c r="D680" s="5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5"/>
      <c r="B681" s="5"/>
      <c r="C681" s="5"/>
      <c r="D681" s="5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5"/>
      <c r="B682" s="5"/>
      <c r="C682" s="5"/>
      <c r="D682" s="5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5"/>
      <c r="B683" s="5"/>
      <c r="C683" s="5"/>
      <c r="D683" s="5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5"/>
      <c r="B684" s="5"/>
      <c r="C684" s="5"/>
      <c r="D684" s="5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5"/>
      <c r="B685" s="5"/>
      <c r="C685" s="5"/>
      <c r="D685" s="5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5"/>
      <c r="B686" s="5"/>
      <c r="C686" s="5"/>
      <c r="D686" s="5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5"/>
      <c r="B687" s="5"/>
      <c r="C687" s="5"/>
      <c r="D687" s="5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5"/>
      <c r="B688" s="5"/>
      <c r="C688" s="5"/>
      <c r="D688" s="5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5"/>
      <c r="B689" s="5"/>
      <c r="C689" s="5"/>
      <c r="D689" s="5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5"/>
      <c r="B690" s="5"/>
      <c r="C690" s="5"/>
      <c r="D690" s="5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5"/>
      <c r="B691" s="5"/>
      <c r="C691" s="5"/>
      <c r="D691" s="5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5"/>
      <c r="B692" s="5"/>
      <c r="C692" s="5"/>
      <c r="D692" s="5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5"/>
      <c r="B693" s="5"/>
      <c r="C693" s="5"/>
      <c r="D693" s="5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5"/>
      <c r="B694" s="5"/>
      <c r="C694" s="5"/>
      <c r="D694" s="5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5"/>
      <c r="B695" s="5"/>
      <c r="C695" s="5"/>
      <c r="D695" s="5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5"/>
      <c r="B696" s="5"/>
      <c r="C696" s="5"/>
      <c r="D696" s="5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5"/>
      <c r="B697" s="5"/>
      <c r="C697" s="5"/>
      <c r="D697" s="5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5"/>
      <c r="B698" s="5"/>
      <c r="C698" s="5"/>
      <c r="D698" s="5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5"/>
      <c r="B699" s="5"/>
      <c r="C699" s="5"/>
      <c r="D699" s="5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5"/>
      <c r="B700" s="5"/>
      <c r="C700" s="5"/>
      <c r="D700" s="5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5"/>
      <c r="B701" s="5"/>
      <c r="C701" s="5"/>
      <c r="D701" s="5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5"/>
      <c r="B702" s="5"/>
      <c r="C702" s="5"/>
      <c r="D702" s="5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5"/>
      <c r="B703" s="5"/>
      <c r="C703" s="5"/>
      <c r="D703" s="5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5"/>
      <c r="B704" s="5"/>
      <c r="C704" s="5"/>
      <c r="D704" s="5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5"/>
      <c r="B705" s="5"/>
      <c r="C705" s="5"/>
      <c r="D705" s="5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5"/>
      <c r="B706" s="5"/>
      <c r="C706" s="5"/>
      <c r="D706" s="5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5"/>
      <c r="B707" s="5"/>
      <c r="C707" s="5"/>
      <c r="D707" s="5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5"/>
      <c r="B708" s="5"/>
      <c r="C708" s="5"/>
      <c r="D708" s="5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5"/>
      <c r="B709" s="5"/>
      <c r="C709" s="5"/>
      <c r="D709" s="5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5"/>
      <c r="B710" s="5"/>
      <c r="C710" s="5"/>
      <c r="D710" s="5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5"/>
      <c r="B711" s="5"/>
      <c r="C711" s="5"/>
      <c r="D711" s="5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5"/>
      <c r="B712" s="5"/>
      <c r="C712" s="5"/>
      <c r="D712" s="5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5"/>
      <c r="B713" s="5"/>
      <c r="C713" s="5"/>
      <c r="D713" s="5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5"/>
      <c r="B714" s="5"/>
      <c r="C714" s="5"/>
      <c r="D714" s="5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5"/>
      <c r="B715" s="5"/>
      <c r="C715" s="5"/>
      <c r="D715" s="5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5"/>
      <c r="B716" s="5"/>
      <c r="C716" s="5"/>
      <c r="D716" s="5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5"/>
      <c r="B717" s="5"/>
      <c r="C717" s="5"/>
      <c r="D717" s="5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5"/>
      <c r="B718" s="5"/>
      <c r="C718" s="5"/>
      <c r="D718" s="5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5"/>
      <c r="B719" s="5"/>
      <c r="C719" s="5"/>
      <c r="D719" s="5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5"/>
      <c r="B720" s="5"/>
      <c r="C720" s="5"/>
      <c r="D720" s="5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5"/>
      <c r="B721" s="5"/>
      <c r="C721" s="5"/>
      <c r="D721" s="5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5"/>
      <c r="B722" s="5"/>
      <c r="C722" s="5"/>
      <c r="D722" s="5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5"/>
      <c r="B723" s="5"/>
      <c r="C723" s="5"/>
      <c r="D723" s="5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5"/>
      <c r="B724" s="5"/>
      <c r="C724" s="5"/>
      <c r="D724" s="5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5"/>
      <c r="B725" s="5"/>
      <c r="C725" s="5"/>
      <c r="D725" s="5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5"/>
      <c r="B726" s="5"/>
      <c r="C726" s="5"/>
      <c r="D726" s="5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5"/>
      <c r="B727" s="5"/>
      <c r="C727" s="5"/>
      <c r="D727" s="5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5"/>
      <c r="B728" s="5"/>
      <c r="C728" s="5"/>
      <c r="D728" s="5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5"/>
      <c r="B729" s="5"/>
      <c r="C729" s="5"/>
      <c r="D729" s="5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5"/>
      <c r="B730" s="5"/>
      <c r="C730" s="5"/>
      <c r="D730" s="5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5"/>
      <c r="B731" s="5"/>
      <c r="C731" s="5"/>
      <c r="D731" s="5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5"/>
      <c r="B732" s="5"/>
      <c r="C732" s="5"/>
      <c r="D732" s="5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5"/>
      <c r="B733" s="5"/>
      <c r="C733" s="5"/>
      <c r="D733" s="5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5"/>
      <c r="B734" s="5"/>
      <c r="C734" s="5"/>
      <c r="D734" s="5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5"/>
      <c r="B735" s="5"/>
      <c r="C735" s="5"/>
      <c r="D735" s="5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5"/>
      <c r="B736" s="5"/>
      <c r="C736" s="5"/>
      <c r="D736" s="5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5"/>
      <c r="B737" s="5"/>
      <c r="C737" s="5"/>
      <c r="D737" s="5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5"/>
      <c r="B738" s="5"/>
      <c r="C738" s="5"/>
      <c r="D738" s="5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5"/>
      <c r="B739" s="5"/>
      <c r="C739" s="5"/>
      <c r="D739" s="5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5"/>
      <c r="B740" s="5"/>
      <c r="C740" s="5"/>
      <c r="D740" s="5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5"/>
      <c r="B741" s="5"/>
      <c r="C741" s="5"/>
      <c r="D741" s="5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5"/>
      <c r="B742" s="5"/>
      <c r="C742" s="5"/>
      <c r="D742" s="5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5"/>
      <c r="B743" s="5"/>
      <c r="C743" s="5"/>
      <c r="D743" s="5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5"/>
      <c r="B744" s="5"/>
      <c r="C744" s="5"/>
      <c r="D744" s="5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5"/>
      <c r="B745" s="5"/>
      <c r="C745" s="5"/>
      <c r="D745" s="5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5"/>
      <c r="B746" s="5"/>
      <c r="C746" s="5"/>
      <c r="D746" s="5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5"/>
      <c r="B747" s="5"/>
      <c r="C747" s="5"/>
      <c r="D747" s="5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5"/>
      <c r="B748" s="5"/>
      <c r="C748" s="5"/>
      <c r="D748" s="5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5"/>
      <c r="B749" s="5"/>
      <c r="C749" s="5"/>
      <c r="D749" s="5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5"/>
      <c r="B750" s="5"/>
      <c r="C750" s="5"/>
      <c r="D750" s="5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5"/>
      <c r="B751" s="5"/>
      <c r="C751" s="5"/>
      <c r="D751" s="5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5"/>
      <c r="B752" s="5"/>
      <c r="C752" s="5"/>
      <c r="D752" s="5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5"/>
      <c r="B753" s="5"/>
      <c r="C753" s="5"/>
      <c r="D753" s="5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5"/>
      <c r="B754" s="5"/>
      <c r="C754" s="5"/>
      <c r="D754" s="5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5"/>
      <c r="B755" s="5"/>
      <c r="C755" s="5"/>
      <c r="D755" s="5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5"/>
      <c r="B756" s="5"/>
      <c r="C756" s="5"/>
      <c r="D756" s="5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5"/>
      <c r="B757" s="5"/>
      <c r="C757" s="5"/>
      <c r="D757" s="5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5"/>
      <c r="B758" s="5"/>
      <c r="C758" s="5"/>
      <c r="D758" s="5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5"/>
      <c r="B759" s="5"/>
      <c r="C759" s="5"/>
      <c r="D759" s="5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5"/>
      <c r="B760" s="5"/>
      <c r="C760" s="5"/>
      <c r="D760" s="5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5"/>
      <c r="B761" s="5"/>
      <c r="C761" s="5"/>
      <c r="D761" s="5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5"/>
      <c r="B762" s="5"/>
      <c r="C762" s="5"/>
      <c r="D762" s="5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5"/>
      <c r="B763" s="5"/>
      <c r="C763" s="5"/>
      <c r="D763" s="5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5"/>
      <c r="B764" s="5"/>
      <c r="C764" s="5"/>
      <c r="D764" s="5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5"/>
      <c r="B765" s="5"/>
      <c r="C765" s="5"/>
      <c r="D765" s="5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5"/>
      <c r="B766" s="5"/>
      <c r="C766" s="5"/>
      <c r="D766" s="5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5"/>
      <c r="B767" s="5"/>
      <c r="C767" s="5"/>
      <c r="D767" s="5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5"/>
      <c r="B768" s="5"/>
      <c r="C768" s="5"/>
      <c r="D768" s="5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5"/>
      <c r="B769" s="5"/>
      <c r="C769" s="5"/>
      <c r="D769" s="5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5"/>
      <c r="B770" s="5"/>
      <c r="C770" s="5"/>
      <c r="D770" s="5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5"/>
      <c r="B771" s="5"/>
      <c r="C771" s="5"/>
      <c r="D771" s="5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5"/>
      <c r="B772" s="5"/>
      <c r="C772" s="5"/>
      <c r="D772" s="5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5"/>
      <c r="B773" s="5"/>
      <c r="C773" s="5"/>
      <c r="D773" s="5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5"/>
      <c r="B774" s="5"/>
      <c r="C774" s="5"/>
      <c r="D774" s="5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5"/>
      <c r="B775" s="5"/>
      <c r="C775" s="5"/>
      <c r="D775" s="5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5"/>
      <c r="B776" s="5"/>
      <c r="C776" s="5"/>
      <c r="D776" s="5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5"/>
      <c r="B777" s="5"/>
      <c r="C777" s="5"/>
      <c r="D777" s="5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5"/>
      <c r="B778" s="5"/>
      <c r="C778" s="5"/>
      <c r="D778" s="5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5"/>
      <c r="B779" s="5"/>
      <c r="C779" s="5"/>
      <c r="D779" s="5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5"/>
      <c r="B780" s="5"/>
      <c r="C780" s="5"/>
      <c r="D780" s="5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5"/>
      <c r="B781" s="5"/>
      <c r="C781" s="5"/>
      <c r="D781" s="5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5"/>
      <c r="B782" s="5"/>
      <c r="C782" s="5"/>
      <c r="D782" s="5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5"/>
      <c r="B783" s="5"/>
      <c r="C783" s="5"/>
      <c r="D783" s="5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5"/>
      <c r="B784" s="5"/>
      <c r="C784" s="5"/>
      <c r="D784" s="5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5"/>
      <c r="B785" s="5"/>
      <c r="C785" s="5"/>
      <c r="D785" s="5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5"/>
      <c r="B786" s="5"/>
      <c r="C786" s="5"/>
      <c r="D786" s="5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5"/>
      <c r="B787" s="5"/>
      <c r="C787" s="5"/>
      <c r="D787" s="5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5"/>
      <c r="B788" s="5"/>
      <c r="C788" s="5"/>
      <c r="D788" s="5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5"/>
      <c r="B789" s="5"/>
      <c r="C789" s="5"/>
      <c r="D789" s="5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5"/>
      <c r="B790" s="5"/>
      <c r="C790" s="5"/>
      <c r="D790" s="5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5"/>
      <c r="B791" s="5"/>
      <c r="C791" s="5"/>
      <c r="D791" s="5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5"/>
      <c r="B792" s="5"/>
      <c r="C792" s="5"/>
      <c r="D792" s="5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5"/>
      <c r="B793" s="5"/>
      <c r="C793" s="5"/>
      <c r="D793" s="5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5"/>
      <c r="B794" s="5"/>
      <c r="C794" s="5"/>
      <c r="D794" s="5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5"/>
      <c r="B795" s="5"/>
      <c r="C795" s="5"/>
      <c r="D795" s="5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5"/>
      <c r="B796" s="5"/>
      <c r="C796" s="5"/>
      <c r="D796" s="5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5"/>
      <c r="B797" s="5"/>
      <c r="C797" s="5"/>
      <c r="D797" s="5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5"/>
      <c r="B798" s="5"/>
      <c r="C798" s="5"/>
      <c r="D798" s="5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5"/>
      <c r="B799" s="5"/>
      <c r="C799" s="5"/>
      <c r="D799" s="5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5"/>
      <c r="B800" s="5"/>
      <c r="C800" s="5"/>
      <c r="D800" s="5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5"/>
      <c r="B801" s="5"/>
      <c r="C801" s="5"/>
      <c r="D801" s="5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5"/>
      <c r="B802" s="5"/>
      <c r="C802" s="5"/>
      <c r="D802" s="5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5"/>
      <c r="B803" s="5"/>
      <c r="C803" s="5"/>
      <c r="D803" s="5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5"/>
      <c r="B804" s="5"/>
      <c r="C804" s="5"/>
      <c r="D804" s="5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5"/>
      <c r="B805" s="5"/>
      <c r="C805" s="5"/>
      <c r="D805" s="5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5"/>
      <c r="B806" s="5"/>
      <c r="C806" s="5"/>
      <c r="D806" s="5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5"/>
      <c r="B807" s="5"/>
      <c r="C807" s="5"/>
      <c r="D807" s="5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5"/>
      <c r="B808" s="5"/>
      <c r="C808" s="5"/>
      <c r="D808" s="5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5"/>
      <c r="B809" s="5"/>
      <c r="C809" s="5"/>
      <c r="D809" s="5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5"/>
      <c r="B810" s="5"/>
      <c r="C810" s="5"/>
      <c r="D810" s="5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5"/>
      <c r="B811" s="5"/>
      <c r="C811" s="5"/>
      <c r="D811" s="5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5"/>
      <c r="B812" s="5"/>
      <c r="C812" s="5"/>
      <c r="D812" s="5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5"/>
      <c r="B813" s="5"/>
      <c r="C813" s="5"/>
      <c r="D813" s="5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5"/>
      <c r="B814" s="5"/>
      <c r="C814" s="5"/>
      <c r="D814" s="5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5"/>
      <c r="B815" s="5"/>
      <c r="C815" s="5"/>
      <c r="D815" s="5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5"/>
      <c r="B816" s="5"/>
      <c r="C816" s="5"/>
      <c r="D816" s="5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5"/>
      <c r="B817" s="5"/>
      <c r="C817" s="5"/>
      <c r="D817" s="5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5"/>
      <c r="B818" s="5"/>
      <c r="C818" s="5"/>
      <c r="D818" s="5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5"/>
      <c r="B819" s="5"/>
      <c r="C819" s="5"/>
      <c r="D819" s="5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5"/>
      <c r="B820" s="5"/>
      <c r="C820" s="5"/>
      <c r="D820" s="5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5"/>
      <c r="B821" s="5"/>
      <c r="C821" s="5"/>
      <c r="D821" s="5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5"/>
      <c r="B822" s="5"/>
      <c r="C822" s="5"/>
      <c r="D822" s="5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5"/>
      <c r="B823" s="5"/>
      <c r="C823" s="5"/>
      <c r="D823" s="5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5"/>
      <c r="B824" s="5"/>
      <c r="C824" s="5"/>
      <c r="D824" s="5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5"/>
      <c r="B825" s="5"/>
      <c r="C825" s="5"/>
      <c r="D825" s="5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5"/>
      <c r="B826" s="5"/>
      <c r="C826" s="5"/>
      <c r="D826" s="5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5"/>
      <c r="B827" s="5"/>
      <c r="C827" s="5"/>
      <c r="D827" s="5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5"/>
      <c r="B828" s="5"/>
      <c r="C828" s="5"/>
      <c r="D828" s="5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5"/>
      <c r="B829" s="5"/>
      <c r="C829" s="5"/>
      <c r="D829" s="5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5"/>
      <c r="B830" s="5"/>
      <c r="C830" s="5"/>
      <c r="D830" s="5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5"/>
      <c r="B831" s="5"/>
      <c r="C831" s="5"/>
      <c r="D831" s="5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5"/>
      <c r="B832" s="5"/>
      <c r="C832" s="5"/>
      <c r="D832" s="5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5"/>
      <c r="B833" s="5"/>
      <c r="C833" s="5"/>
      <c r="D833" s="5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5"/>
      <c r="B834" s="5"/>
      <c r="C834" s="5"/>
      <c r="D834" s="5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5"/>
      <c r="B835" s="5"/>
      <c r="C835" s="5"/>
      <c r="D835" s="5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5"/>
      <c r="B836" s="5"/>
      <c r="C836" s="5"/>
      <c r="D836" s="5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5"/>
      <c r="B837" s="5"/>
      <c r="C837" s="5"/>
      <c r="D837" s="5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5"/>
      <c r="B838" s="5"/>
      <c r="C838" s="5"/>
      <c r="D838" s="5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5"/>
      <c r="B839" s="5"/>
      <c r="C839" s="5"/>
      <c r="D839" s="5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5"/>
      <c r="B840" s="5"/>
      <c r="C840" s="5"/>
      <c r="D840" s="5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5"/>
      <c r="B841" s="5"/>
      <c r="C841" s="5"/>
      <c r="D841" s="5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5"/>
      <c r="B842" s="5"/>
      <c r="C842" s="5"/>
      <c r="D842" s="5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5"/>
      <c r="B843" s="5"/>
      <c r="C843" s="5"/>
      <c r="D843" s="5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5"/>
      <c r="B844" s="5"/>
      <c r="C844" s="5"/>
      <c r="D844" s="5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5"/>
      <c r="B845" s="5"/>
      <c r="C845" s="5"/>
      <c r="D845" s="5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5"/>
      <c r="B846" s="5"/>
      <c r="C846" s="5"/>
      <c r="D846" s="5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5"/>
      <c r="B847" s="5"/>
      <c r="C847" s="5"/>
      <c r="D847" s="5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5"/>
      <c r="B848" s="5"/>
      <c r="C848" s="5"/>
      <c r="D848" s="5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5"/>
      <c r="B849" s="5"/>
      <c r="C849" s="5"/>
      <c r="D849" s="5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5"/>
      <c r="B850" s="5"/>
      <c r="C850" s="5"/>
      <c r="D850" s="5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5"/>
      <c r="B851" s="5"/>
      <c r="C851" s="5"/>
      <c r="D851" s="5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5"/>
      <c r="B852" s="5"/>
      <c r="C852" s="5"/>
      <c r="D852" s="5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5"/>
      <c r="B853" s="5"/>
      <c r="C853" s="5"/>
      <c r="D853" s="5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5"/>
      <c r="B854" s="5"/>
      <c r="C854" s="5"/>
      <c r="D854" s="5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5"/>
      <c r="B855" s="5"/>
      <c r="C855" s="5"/>
      <c r="D855" s="5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5"/>
      <c r="B856" s="5"/>
      <c r="C856" s="5"/>
      <c r="D856" s="5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5"/>
      <c r="B857" s="5"/>
      <c r="C857" s="5"/>
      <c r="D857" s="5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5"/>
      <c r="B858" s="5"/>
      <c r="C858" s="5"/>
      <c r="D858" s="5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5"/>
      <c r="B859" s="5"/>
      <c r="C859" s="5"/>
      <c r="D859" s="5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5"/>
      <c r="B860" s="5"/>
      <c r="C860" s="5"/>
      <c r="D860" s="5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5"/>
      <c r="B861" s="5"/>
      <c r="C861" s="5"/>
      <c r="D861" s="5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5"/>
      <c r="B862" s="5"/>
      <c r="C862" s="5"/>
      <c r="D862" s="5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5"/>
      <c r="B863" s="5"/>
      <c r="C863" s="5"/>
      <c r="D863" s="5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5"/>
      <c r="B864" s="5"/>
      <c r="C864" s="5"/>
      <c r="D864" s="5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5"/>
      <c r="B865" s="5"/>
      <c r="C865" s="5"/>
      <c r="D865" s="5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5"/>
      <c r="B866" s="5"/>
      <c r="C866" s="5"/>
      <c r="D866" s="5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5"/>
      <c r="B867" s="5"/>
      <c r="C867" s="5"/>
      <c r="D867" s="5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5"/>
      <c r="B868" s="5"/>
      <c r="C868" s="5"/>
      <c r="D868" s="5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5"/>
      <c r="B869" s="5"/>
      <c r="C869" s="5"/>
      <c r="D869" s="5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5"/>
      <c r="B870" s="5"/>
      <c r="C870" s="5"/>
      <c r="D870" s="5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5"/>
      <c r="B871" s="5"/>
      <c r="C871" s="5"/>
      <c r="D871" s="5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5"/>
      <c r="B872" s="5"/>
      <c r="C872" s="5"/>
      <c r="D872" s="5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5"/>
      <c r="B873" s="5"/>
      <c r="C873" s="5"/>
      <c r="D873" s="5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5"/>
      <c r="B874" s="5"/>
      <c r="C874" s="5"/>
      <c r="D874" s="5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5"/>
      <c r="B875" s="5"/>
      <c r="C875" s="5"/>
      <c r="D875" s="5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5"/>
      <c r="B876" s="5"/>
      <c r="C876" s="5"/>
      <c r="D876" s="5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5"/>
      <c r="B877" s="5"/>
      <c r="C877" s="5"/>
      <c r="D877" s="5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5"/>
      <c r="B878" s="5"/>
      <c r="C878" s="5"/>
      <c r="D878" s="5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5"/>
      <c r="B879" s="5"/>
      <c r="C879" s="5"/>
      <c r="D879" s="5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5"/>
      <c r="B880" s="5"/>
      <c r="C880" s="5"/>
      <c r="D880" s="5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5"/>
      <c r="B881" s="5"/>
      <c r="C881" s="5"/>
      <c r="D881" s="5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5"/>
      <c r="B882" s="5"/>
      <c r="C882" s="5"/>
      <c r="D882" s="5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5"/>
      <c r="B883" s="5"/>
      <c r="C883" s="5"/>
      <c r="D883" s="5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5"/>
      <c r="B884" s="5"/>
      <c r="C884" s="5"/>
      <c r="D884" s="5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5"/>
      <c r="B885" s="5"/>
      <c r="C885" s="5"/>
      <c r="D885" s="5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5"/>
      <c r="B886" s="5"/>
      <c r="C886" s="5"/>
      <c r="D886" s="5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5"/>
      <c r="B887" s="5"/>
      <c r="C887" s="5"/>
      <c r="D887" s="5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5"/>
      <c r="B888" s="5"/>
      <c r="C888" s="5"/>
      <c r="D888" s="5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5"/>
      <c r="B889" s="5"/>
      <c r="C889" s="5"/>
      <c r="D889" s="5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5"/>
      <c r="B890" s="5"/>
      <c r="C890" s="5"/>
      <c r="D890" s="5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5"/>
      <c r="B891" s="5"/>
      <c r="C891" s="5"/>
      <c r="D891" s="5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5"/>
      <c r="B892" s="5"/>
      <c r="C892" s="5"/>
      <c r="D892" s="5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5"/>
      <c r="B893" s="5"/>
      <c r="C893" s="5"/>
      <c r="D893" s="5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5"/>
      <c r="B894" s="5"/>
      <c r="C894" s="5"/>
      <c r="D894" s="5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5"/>
      <c r="B895" s="5"/>
      <c r="C895" s="5"/>
      <c r="D895" s="5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5"/>
      <c r="B896" s="5"/>
      <c r="C896" s="5"/>
      <c r="D896" s="5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5"/>
      <c r="B897" s="5"/>
      <c r="C897" s="5"/>
      <c r="D897" s="5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5"/>
      <c r="B898" s="5"/>
      <c r="C898" s="5"/>
      <c r="D898" s="5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5"/>
      <c r="B899" s="5"/>
      <c r="C899" s="5"/>
      <c r="D899" s="5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5"/>
      <c r="B900" s="5"/>
      <c r="C900" s="5"/>
      <c r="D900" s="5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5"/>
      <c r="B901" s="5"/>
      <c r="C901" s="5"/>
      <c r="D901" s="5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5"/>
      <c r="B902" s="5"/>
      <c r="C902" s="5"/>
      <c r="D902" s="5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5"/>
      <c r="B903" s="5"/>
      <c r="C903" s="5"/>
      <c r="D903" s="5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5"/>
      <c r="B904" s="5"/>
      <c r="C904" s="5"/>
      <c r="D904" s="5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5"/>
      <c r="B905" s="5"/>
      <c r="C905" s="5"/>
      <c r="D905" s="5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5"/>
      <c r="B906" s="5"/>
      <c r="C906" s="5"/>
      <c r="D906" s="5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5"/>
      <c r="B907" s="5"/>
      <c r="C907" s="5"/>
      <c r="D907" s="5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5"/>
      <c r="B908" s="5"/>
      <c r="C908" s="5"/>
      <c r="D908" s="5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5"/>
      <c r="B909" s="5"/>
      <c r="C909" s="5"/>
      <c r="D909" s="5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5"/>
      <c r="B910" s="5"/>
      <c r="C910" s="5"/>
      <c r="D910" s="5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5"/>
      <c r="B911" s="5"/>
      <c r="C911" s="5"/>
      <c r="D911" s="5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5"/>
      <c r="B912" s="5"/>
      <c r="C912" s="5"/>
      <c r="D912" s="5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5"/>
      <c r="B913" s="5"/>
      <c r="C913" s="5"/>
      <c r="D913" s="5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5"/>
      <c r="B914" s="5"/>
      <c r="C914" s="5"/>
      <c r="D914" s="5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5"/>
      <c r="B915" s="5"/>
      <c r="C915" s="5"/>
      <c r="D915" s="5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5"/>
      <c r="B916" s="5"/>
      <c r="C916" s="5"/>
      <c r="D916" s="5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5"/>
      <c r="B917" s="5"/>
      <c r="C917" s="5"/>
      <c r="D917" s="5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5"/>
      <c r="B918" s="5"/>
      <c r="C918" s="5"/>
      <c r="D918" s="5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5"/>
      <c r="B919" s="5"/>
      <c r="C919" s="5"/>
      <c r="D919" s="5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5"/>
      <c r="B920" s="5"/>
      <c r="C920" s="5"/>
      <c r="D920" s="5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5"/>
      <c r="B921" s="5"/>
      <c r="C921" s="5"/>
      <c r="D921" s="5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5"/>
      <c r="B922" s="5"/>
      <c r="C922" s="5"/>
      <c r="D922" s="5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5"/>
      <c r="B923" s="5"/>
      <c r="C923" s="5"/>
      <c r="D923" s="5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5"/>
      <c r="B924" s="5"/>
      <c r="C924" s="5"/>
      <c r="D924" s="5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5"/>
      <c r="B925" s="5"/>
      <c r="C925" s="5"/>
      <c r="D925" s="5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5"/>
      <c r="B926" s="5"/>
      <c r="C926" s="5"/>
      <c r="D926" s="5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5"/>
      <c r="B927" s="5"/>
      <c r="C927" s="5"/>
      <c r="D927" s="5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5"/>
      <c r="B928" s="5"/>
      <c r="C928" s="5"/>
      <c r="D928" s="5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5"/>
      <c r="B929" s="5"/>
      <c r="C929" s="5"/>
      <c r="D929" s="5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5"/>
      <c r="B930" s="5"/>
      <c r="C930" s="5"/>
      <c r="D930" s="5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5"/>
      <c r="B931" s="5"/>
      <c r="C931" s="5"/>
      <c r="D931" s="5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5"/>
      <c r="B932" s="5"/>
      <c r="C932" s="5"/>
      <c r="D932" s="5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5"/>
      <c r="B933" s="5"/>
      <c r="C933" s="5"/>
      <c r="D933" s="5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5"/>
      <c r="B934" s="5"/>
      <c r="C934" s="5"/>
      <c r="D934" s="5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5"/>
      <c r="B935" s="5"/>
      <c r="C935" s="5"/>
      <c r="D935" s="5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5"/>
      <c r="B936" s="5"/>
      <c r="C936" s="5"/>
      <c r="D936" s="5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5"/>
      <c r="B937" s="5"/>
      <c r="C937" s="5"/>
      <c r="D937" s="5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5"/>
      <c r="B938" s="5"/>
      <c r="C938" s="5"/>
      <c r="D938" s="5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5"/>
      <c r="B939" s="5"/>
      <c r="C939" s="5"/>
      <c r="D939" s="5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5"/>
      <c r="B940" s="5"/>
      <c r="C940" s="5"/>
      <c r="D940" s="5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5"/>
      <c r="B941" s="5"/>
      <c r="C941" s="5"/>
      <c r="D941" s="5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5"/>
      <c r="B942" s="5"/>
      <c r="C942" s="5"/>
      <c r="D942" s="5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5"/>
      <c r="B943" s="5"/>
      <c r="C943" s="5"/>
      <c r="D943" s="5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5"/>
      <c r="B944" s="5"/>
      <c r="C944" s="5"/>
      <c r="D944" s="5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5"/>
      <c r="B945" s="5"/>
      <c r="C945" s="5"/>
      <c r="D945" s="5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5"/>
      <c r="B946" s="5"/>
      <c r="C946" s="5"/>
      <c r="D946" s="5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5"/>
      <c r="B947" s="5"/>
      <c r="C947" s="5"/>
      <c r="D947" s="5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5"/>
      <c r="B948" s="5"/>
      <c r="C948" s="5"/>
      <c r="D948" s="5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5"/>
      <c r="B949" s="5"/>
      <c r="C949" s="5"/>
      <c r="D949" s="5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5"/>
      <c r="B950" s="5"/>
      <c r="C950" s="5"/>
      <c r="D950" s="5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5"/>
      <c r="B951" s="5"/>
      <c r="C951" s="5"/>
      <c r="D951" s="5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5"/>
      <c r="B952" s="5"/>
      <c r="C952" s="5"/>
      <c r="D952" s="5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5"/>
      <c r="B953" s="5"/>
      <c r="C953" s="5"/>
      <c r="D953" s="5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5"/>
      <c r="B954" s="5"/>
      <c r="C954" s="5"/>
      <c r="D954" s="5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5"/>
      <c r="B955" s="5"/>
      <c r="C955" s="5"/>
      <c r="D955" s="5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5"/>
      <c r="B956" s="5"/>
      <c r="C956" s="5"/>
      <c r="D956" s="5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5"/>
      <c r="B957" s="5"/>
      <c r="C957" s="5"/>
      <c r="D957" s="5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5"/>
      <c r="B958" s="5"/>
      <c r="C958" s="5"/>
      <c r="D958" s="5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5"/>
      <c r="B959" s="5"/>
      <c r="C959" s="5"/>
      <c r="D959" s="5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5"/>
      <c r="B960" s="5"/>
      <c r="C960" s="5"/>
      <c r="D960" s="5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5"/>
      <c r="B961" s="5"/>
      <c r="C961" s="5"/>
      <c r="D961" s="5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5"/>
      <c r="B962" s="5"/>
      <c r="C962" s="5"/>
      <c r="D962" s="5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5"/>
      <c r="B963" s="5"/>
      <c r="C963" s="5"/>
      <c r="D963" s="5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5"/>
      <c r="B964" s="5"/>
      <c r="C964" s="5"/>
      <c r="D964" s="5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5"/>
      <c r="B965" s="5"/>
      <c r="C965" s="5"/>
      <c r="D965" s="5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5"/>
      <c r="B966" s="5"/>
      <c r="C966" s="5"/>
      <c r="D966" s="5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5"/>
      <c r="B967" s="5"/>
      <c r="C967" s="5"/>
      <c r="D967" s="5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5"/>
      <c r="B968" s="5"/>
      <c r="C968" s="5"/>
      <c r="D968" s="5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5"/>
      <c r="B969" s="5"/>
      <c r="C969" s="5"/>
      <c r="D969" s="5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5"/>
      <c r="B970" s="5"/>
      <c r="C970" s="5"/>
      <c r="D970" s="5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5"/>
      <c r="B971" s="5"/>
      <c r="C971" s="5"/>
      <c r="D971" s="5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5"/>
      <c r="B972" s="5"/>
      <c r="C972" s="5"/>
      <c r="D972" s="5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5"/>
      <c r="B973" s="5"/>
      <c r="C973" s="5"/>
      <c r="D973" s="5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5"/>
      <c r="B974" s="5"/>
      <c r="C974" s="5"/>
      <c r="D974" s="5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5"/>
      <c r="B975" s="5"/>
      <c r="C975" s="5"/>
      <c r="D975" s="5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5"/>
      <c r="B976" s="5"/>
      <c r="C976" s="5"/>
      <c r="D976" s="5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5"/>
      <c r="B977" s="5"/>
      <c r="C977" s="5"/>
      <c r="D977" s="5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5"/>
      <c r="B978" s="5"/>
      <c r="C978" s="5"/>
      <c r="D978" s="5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5"/>
      <c r="B979" s="5"/>
      <c r="C979" s="5"/>
      <c r="D979" s="5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5"/>
      <c r="B980" s="5"/>
      <c r="C980" s="5"/>
      <c r="D980" s="5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5"/>
      <c r="B981" s="5"/>
      <c r="C981" s="5"/>
      <c r="D981" s="5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5"/>
      <c r="B982" s="5"/>
      <c r="C982" s="5"/>
      <c r="D982" s="5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5"/>
      <c r="B983" s="5"/>
      <c r="C983" s="5"/>
      <c r="D983" s="5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5"/>
      <c r="B984" s="5"/>
      <c r="C984" s="5"/>
      <c r="D984" s="5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5"/>
      <c r="B985" s="5"/>
      <c r="C985" s="5"/>
      <c r="D985" s="5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5"/>
      <c r="B986" s="5"/>
      <c r="C986" s="5"/>
      <c r="D986" s="5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5"/>
      <c r="B987" s="5"/>
      <c r="C987" s="5"/>
      <c r="D987" s="5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5"/>
      <c r="B988" s="5"/>
      <c r="C988" s="5"/>
      <c r="D988" s="5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5"/>
      <c r="B989" s="5"/>
      <c r="C989" s="5"/>
      <c r="D989" s="5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5"/>
      <c r="B990" s="5"/>
      <c r="C990" s="5"/>
      <c r="D990" s="5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5"/>
      <c r="B991" s="5"/>
      <c r="C991" s="5"/>
      <c r="D991" s="5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5"/>
      <c r="B992" s="5"/>
      <c r="C992" s="5"/>
      <c r="D992" s="5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5"/>
      <c r="B993" s="5"/>
      <c r="C993" s="5"/>
      <c r="D993" s="5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5"/>
      <c r="B994" s="5"/>
      <c r="C994" s="5"/>
      <c r="D994" s="5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5"/>
      <c r="B995" s="5"/>
      <c r="C995" s="5"/>
      <c r="D995" s="5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5"/>
      <c r="B996" s="5"/>
      <c r="C996" s="5"/>
      <c r="D996" s="5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5"/>
      <c r="B997" s="5"/>
      <c r="C997" s="5"/>
      <c r="D997" s="5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5"/>
      <c r="B998" s="5"/>
      <c r="C998" s="5"/>
      <c r="D998" s="5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5"/>
      <c r="B999" s="5"/>
      <c r="C999" s="5"/>
      <c r="D999" s="5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5"/>
      <c r="B1000" s="5"/>
      <c r="C1000" s="5"/>
      <c r="D1000" s="5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D$101"/>
  <dataValidations>
    <dataValidation type="list" allowBlank="1" showErrorMessage="1" sqref="H9">
      <formula1>$B$2:$B$101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" width="16.29"/>
    <col customWidth="1" min="5" max="5" width="9.71"/>
    <col customWidth="1" min="6" max="7" width="15.43"/>
    <col customWidth="1" min="8" max="10" width="9.14"/>
    <col customWidth="1" hidden="1" min="11" max="11" width="9.14"/>
    <col customWidth="1" min="12" max="26" width="9.14"/>
  </cols>
  <sheetData>
    <row r="1">
      <c r="A1" s="1" t="s">
        <v>232</v>
      </c>
      <c r="B1" s="1" t="s">
        <v>233</v>
      </c>
      <c r="C1" s="1" t="s">
        <v>234</v>
      </c>
      <c r="D1" s="1" t="s">
        <v>235</v>
      </c>
      <c r="E1" s="16"/>
      <c r="F1" s="1" t="s">
        <v>234</v>
      </c>
      <c r="G1" s="17" t="s">
        <v>236</v>
      </c>
      <c r="H1" s="2"/>
      <c r="I1" s="2"/>
      <c r="J1" s="2"/>
      <c r="K1" s="5" t="s">
        <v>236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8">
        <v>44197.0</v>
      </c>
      <c r="B2" s="5" t="s">
        <v>237</v>
      </c>
      <c r="C2" s="5" t="s">
        <v>236</v>
      </c>
      <c r="D2" s="10" t="s">
        <v>238</v>
      </c>
      <c r="E2" s="16"/>
      <c r="F2" s="5"/>
      <c r="G2" s="5"/>
      <c r="H2" s="2"/>
      <c r="I2" s="2"/>
      <c r="J2" s="2"/>
      <c r="K2" s="5" t="s">
        <v>239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8">
        <v>44197.0</v>
      </c>
      <c r="B3" s="5" t="s">
        <v>240</v>
      </c>
      <c r="C3" s="5" t="s">
        <v>241</v>
      </c>
      <c r="D3" s="10" t="s">
        <v>238</v>
      </c>
      <c r="E3" s="5"/>
      <c r="F3" s="19" t="s">
        <v>242</v>
      </c>
      <c r="G3" s="20" t="str">
        <f t="array" ref="G3">XLOOKUP(G1,C:C,B:B)</f>
        <v>Projeto 30</v>
      </c>
      <c r="H3" s="2"/>
      <c r="I3" s="2"/>
      <c r="J3" s="2"/>
      <c r="K3" s="5" t="s">
        <v>241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8">
        <v>44198.0</v>
      </c>
      <c r="B4" s="5" t="s">
        <v>243</v>
      </c>
      <c r="C4" s="5" t="s">
        <v>241</v>
      </c>
      <c r="D4" s="10" t="s">
        <v>244</v>
      </c>
      <c r="E4" s="5"/>
      <c r="F4" s="19" t="s">
        <v>232</v>
      </c>
      <c r="G4" s="21">
        <f t="array" ref="G4">XLOOKUP(G3,B:B,A:A)</f>
        <v>44197</v>
      </c>
      <c r="H4" s="2"/>
      <c r="I4" s="2"/>
      <c r="J4" s="2"/>
      <c r="K4" s="5" t="s">
        <v>245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8">
        <v>44199.0</v>
      </c>
      <c r="B5" s="5" t="s">
        <v>246</v>
      </c>
      <c r="C5" s="5" t="s">
        <v>239</v>
      </c>
      <c r="D5" s="10" t="s">
        <v>247</v>
      </c>
      <c r="E5" s="5"/>
      <c r="F5" s="19" t="s">
        <v>235</v>
      </c>
      <c r="G5" s="22" t="str">
        <f t="array" ref="G5">XLOOKUP(G3,B:B,D:D)</f>
        <v>Concluído</v>
      </c>
      <c r="H5" s="2"/>
      <c r="I5" s="2"/>
      <c r="J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8">
        <v>44199.0</v>
      </c>
      <c r="B6" s="5" t="s">
        <v>248</v>
      </c>
      <c r="C6" s="5" t="s">
        <v>245</v>
      </c>
      <c r="D6" s="10" t="s">
        <v>247</v>
      </c>
      <c r="E6" s="5"/>
      <c r="F6" s="5"/>
      <c r="G6" s="5"/>
      <c r="H6" s="2"/>
      <c r="I6" s="2"/>
      <c r="J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8">
        <v>44199.0</v>
      </c>
      <c r="B7" s="5" t="s">
        <v>249</v>
      </c>
      <c r="C7" s="5" t="s">
        <v>241</v>
      </c>
      <c r="D7" s="10" t="s">
        <v>244</v>
      </c>
      <c r="E7" s="5"/>
      <c r="F7" s="19" t="s">
        <v>250</v>
      </c>
      <c r="G7" s="23" t="str">
        <f t="array" ref="G7">XLOOKUP(G1,C:C,B:B,,,-1)</f>
        <v>Projeto 34</v>
      </c>
      <c r="H7" s="2"/>
      <c r="I7" s="2"/>
      <c r="J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8">
        <v>44199.0</v>
      </c>
      <c r="B8" s="5" t="s">
        <v>251</v>
      </c>
      <c r="C8" s="5" t="s">
        <v>239</v>
      </c>
      <c r="D8" s="10" t="s">
        <v>244</v>
      </c>
      <c r="E8" s="5"/>
      <c r="F8" s="19" t="s">
        <v>232</v>
      </c>
      <c r="G8" s="21">
        <f t="array" ref="G8">XLOOKUP(G7,B:B,A:A)</f>
        <v>44223</v>
      </c>
      <c r="H8" s="2"/>
      <c r="I8" s="2"/>
      <c r="J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8">
        <v>44200.0</v>
      </c>
      <c r="B9" s="5" t="s">
        <v>252</v>
      </c>
      <c r="C9" s="5" t="s">
        <v>239</v>
      </c>
      <c r="D9" s="10" t="s">
        <v>238</v>
      </c>
      <c r="E9" s="5"/>
      <c r="F9" s="19" t="s">
        <v>235</v>
      </c>
      <c r="G9" s="22" t="str">
        <f t="array" ref="G9">XLOOKUP(G7,B:B,D:D)</f>
        <v>Encerrado</v>
      </c>
      <c r="H9" s="2"/>
      <c r="I9" s="2"/>
      <c r="J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8">
        <v>44201.0</v>
      </c>
      <c r="B10" s="5" t="s">
        <v>253</v>
      </c>
      <c r="C10" s="5" t="s">
        <v>245</v>
      </c>
      <c r="D10" s="10" t="s">
        <v>244</v>
      </c>
      <c r="E10" s="5"/>
      <c r="F10" s="5"/>
      <c r="G10" s="5"/>
      <c r="H10" s="2"/>
      <c r="I10" s="2"/>
      <c r="J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8">
        <v>44202.0</v>
      </c>
      <c r="B11" s="5" t="s">
        <v>254</v>
      </c>
      <c r="C11" s="5" t="s">
        <v>241</v>
      </c>
      <c r="D11" s="10" t="s">
        <v>244</v>
      </c>
      <c r="E11" s="5"/>
      <c r="F11" s="18"/>
      <c r="G11" s="5"/>
      <c r="H11" s="2"/>
      <c r="I11" s="2"/>
      <c r="J11" s="2"/>
      <c r="L11" s="2"/>
      <c r="M11" s="2"/>
      <c r="N11" s="2"/>
      <c r="O11" s="2"/>
      <c r="P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8">
        <v>44203.0</v>
      </c>
      <c r="B12" s="5" t="s">
        <v>255</v>
      </c>
      <c r="C12" s="5" t="s">
        <v>239</v>
      </c>
      <c r="D12" s="10" t="s">
        <v>256</v>
      </c>
      <c r="E12" s="5"/>
      <c r="F12" s="18"/>
      <c r="G12" s="5"/>
      <c r="H12" s="2"/>
      <c r="I12" s="2"/>
      <c r="J12" s="2"/>
      <c r="L12" s="2"/>
      <c r="M12" s="2"/>
      <c r="N12" s="2"/>
      <c r="O12" s="2"/>
      <c r="P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8">
        <v>44203.0</v>
      </c>
      <c r="B13" s="5" t="s">
        <v>257</v>
      </c>
      <c r="C13" s="5" t="s">
        <v>236</v>
      </c>
      <c r="D13" s="10" t="s">
        <v>256</v>
      </c>
      <c r="E13" s="5"/>
      <c r="F13" s="5"/>
      <c r="G13" s="5"/>
      <c r="H13" s="2"/>
      <c r="I13" s="2"/>
      <c r="J13" s="2"/>
      <c r="L13" s="2"/>
      <c r="M13" s="2"/>
      <c r="N13" s="2"/>
      <c r="O13" s="2"/>
      <c r="P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8">
        <v>44204.0</v>
      </c>
      <c r="B14" s="5" t="s">
        <v>258</v>
      </c>
      <c r="C14" s="5" t="s">
        <v>245</v>
      </c>
      <c r="D14" s="10" t="s">
        <v>247</v>
      </c>
      <c r="E14" s="5"/>
      <c r="F14" s="5"/>
      <c r="G14" s="5"/>
      <c r="H14" s="2"/>
      <c r="I14" s="2"/>
      <c r="J14" s="2"/>
      <c r="L14" s="2"/>
      <c r="M14" s="2"/>
      <c r="N14" s="2"/>
      <c r="O14" s="2"/>
      <c r="P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8">
        <v>44206.0</v>
      </c>
      <c r="B15" s="5" t="s">
        <v>259</v>
      </c>
      <c r="C15" s="5" t="s">
        <v>239</v>
      </c>
      <c r="D15" s="10" t="s">
        <v>247</v>
      </c>
      <c r="E15" s="5"/>
      <c r="F15" s="5"/>
      <c r="G15" s="5"/>
      <c r="H15" s="2"/>
      <c r="I15" s="2"/>
      <c r="J15" s="2"/>
      <c r="L15" s="2"/>
      <c r="M15" s="2"/>
      <c r="N15" s="2"/>
      <c r="O15" s="2"/>
      <c r="P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8">
        <v>44206.0</v>
      </c>
      <c r="B16" s="5" t="s">
        <v>260</v>
      </c>
      <c r="C16" s="5" t="s">
        <v>239</v>
      </c>
      <c r="D16" s="10" t="s">
        <v>256</v>
      </c>
      <c r="E16" s="5"/>
      <c r="F16" s="5"/>
      <c r="G16" s="5"/>
      <c r="H16" s="2"/>
      <c r="I16" s="2"/>
      <c r="J16" s="2"/>
      <c r="L16" s="2"/>
      <c r="M16" s="2"/>
      <c r="N16" s="2"/>
      <c r="O16" s="2"/>
      <c r="P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8">
        <v>44206.0</v>
      </c>
      <c r="B17" s="5" t="s">
        <v>261</v>
      </c>
      <c r="C17" s="5" t="s">
        <v>236</v>
      </c>
      <c r="D17" s="10" t="s">
        <v>247</v>
      </c>
      <c r="E17" s="5"/>
      <c r="F17" s="5"/>
      <c r="G17" s="5"/>
      <c r="H17" s="2"/>
      <c r="I17" s="2"/>
      <c r="J17" s="2"/>
      <c r="L17" s="2"/>
      <c r="M17" s="2"/>
      <c r="N17" s="2"/>
      <c r="O17" s="2"/>
      <c r="P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8">
        <v>44206.0</v>
      </c>
      <c r="B18" s="5" t="s">
        <v>262</v>
      </c>
      <c r="C18" s="5" t="s">
        <v>241</v>
      </c>
      <c r="D18" s="10" t="s">
        <v>238</v>
      </c>
      <c r="E18" s="5"/>
      <c r="F18" s="5"/>
      <c r="G18" s="5"/>
      <c r="H18" s="2"/>
      <c r="I18" s="2"/>
      <c r="J18" s="2"/>
      <c r="L18" s="2"/>
      <c r="M18" s="2"/>
      <c r="N18" s="2"/>
      <c r="O18" s="2"/>
      <c r="P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8">
        <v>44209.0</v>
      </c>
      <c r="B19" s="5" t="s">
        <v>263</v>
      </c>
      <c r="C19" s="5" t="s">
        <v>239</v>
      </c>
      <c r="D19" s="10" t="s">
        <v>256</v>
      </c>
      <c r="E19" s="5"/>
      <c r="F19" s="5"/>
      <c r="G19" s="5"/>
      <c r="H19" s="2"/>
      <c r="I19" s="2"/>
      <c r="J19" s="2"/>
      <c r="L19" s="2"/>
      <c r="M19" s="2"/>
      <c r="N19" s="2"/>
      <c r="O19" s="2"/>
      <c r="P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8">
        <v>44209.0</v>
      </c>
      <c r="B20" s="5" t="s">
        <v>264</v>
      </c>
      <c r="C20" s="5" t="s">
        <v>245</v>
      </c>
      <c r="D20" s="10" t="s">
        <v>238</v>
      </c>
      <c r="E20" s="5"/>
      <c r="F20" s="5"/>
      <c r="G20" s="5"/>
      <c r="H20" s="2"/>
      <c r="I20" s="2"/>
      <c r="J20" s="2"/>
      <c r="L20" s="2"/>
      <c r="M20" s="2"/>
      <c r="N20" s="2"/>
      <c r="O20" s="2"/>
      <c r="P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8">
        <v>44210.0</v>
      </c>
      <c r="B21" s="5" t="s">
        <v>265</v>
      </c>
      <c r="C21" s="5" t="s">
        <v>245</v>
      </c>
      <c r="D21" s="10" t="s">
        <v>238</v>
      </c>
      <c r="E21" s="5"/>
      <c r="F21" s="5"/>
      <c r="G21" s="5"/>
      <c r="H21" s="2"/>
      <c r="I21" s="2"/>
      <c r="J21" s="2"/>
      <c r="L21" s="2"/>
      <c r="M21" s="2"/>
      <c r="N21" s="2"/>
      <c r="O21" s="2"/>
      <c r="P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8">
        <v>44211.0</v>
      </c>
      <c r="B22" s="5" t="s">
        <v>266</v>
      </c>
      <c r="C22" s="5" t="s">
        <v>245</v>
      </c>
      <c r="D22" s="10" t="s">
        <v>247</v>
      </c>
      <c r="E22" s="5"/>
      <c r="F22" s="5"/>
      <c r="G22" s="5"/>
      <c r="H22" s="2"/>
      <c r="I22" s="2"/>
      <c r="J22" s="2"/>
      <c r="L22" s="2"/>
      <c r="M22" s="2"/>
      <c r="N22" s="2"/>
      <c r="O22" s="2"/>
      <c r="P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8">
        <v>44211.0</v>
      </c>
      <c r="B23" s="5" t="s">
        <v>267</v>
      </c>
      <c r="C23" s="5" t="s">
        <v>236</v>
      </c>
      <c r="D23" s="10" t="s">
        <v>268</v>
      </c>
      <c r="E23" s="5"/>
      <c r="F23" s="5"/>
      <c r="G23" s="5"/>
      <c r="H23" s="2"/>
      <c r="I23" s="2"/>
      <c r="J23" s="2"/>
      <c r="L23" s="2"/>
      <c r="M23" s="2"/>
      <c r="N23" s="2"/>
      <c r="O23" s="2"/>
      <c r="P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8">
        <v>44211.0</v>
      </c>
      <c r="B24" s="5" t="s">
        <v>269</v>
      </c>
      <c r="C24" s="5" t="s">
        <v>236</v>
      </c>
      <c r="D24" s="10" t="s">
        <v>268</v>
      </c>
      <c r="E24" s="5"/>
      <c r="F24" s="5"/>
      <c r="G24" s="5"/>
      <c r="H24" s="2"/>
      <c r="I24" s="2"/>
      <c r="J24" s="2"/>
      <c r="L24" s="2"/>
      <c r="M24" s="2"/>
      <c r="N24" s="2"/>
      <c r="O24" s="2"/>
      <c r="P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8">
        <v>44213.0</v>
      </c>
      <c r="B25" s="5" t="s">
        <v>270</v>
      </c>
      <c r="C25" s="5" t="s">
        <v>236</v>
      </c>
      <c r="D25" s="10" t="s">
        <v>247</v>
      </c>
      <c r="E25" s="5"/>
      <c r="F25" s="5"/>
      <c r="G25" s="5"/>
      <c r="H25" s="2"/>
      <c r="I25" s="2"/>
      <c r="J25" s="2"/>
      <c r="L25" s="2"/>
      <c r="M25" s="2"/>
      <c r="N25" s="2"/>
      <c r="O25" s="2"/>
      <c r="P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8">
        <v>44213.0</v>
      </c>
      <c r="B26" s="5" t="s">
        <v>271</v>
      </c>
      <c r="C26" s="5" t="s">
        <v>241</v>
      </c>
      <c r="D26" s="10" t="s">
        <v>247</v>
      </c>
      <c r="E26" s="5"/>
      <c r="F26" s="5"/>
      <c r="G26" s="5"/>
      <c r="H26" s="2"/>
      <c r="I26" s="2"/>
      <c r="J26" s="2"/>
      <c r="L26" s="2"/>
      <c r="M26" s="2"/>
      <c r="N26" s="2"/>
      <c r="O26" s="2"/>
      <c r="P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8">
        <v>44213.0</v>
      </c>
      <c r="B27" s="5" t="s">
        <v>272</v>
      </c>
      <c r="C27" s="5" t="s">
        <v>236</v>
      </c>
      <c r="D27" s="10" t="s">
        <v>247</v>
      </c>
      <c r="E27" s="5"/>
      <c r="F27" s="5"/>
      <c r="G27" s="5"/>
      <c r="H27" s="2"/>
      <c r="I27" s="2"/>
      <c r="J27" s="2"/>
      <c r="L27" s="2"/>
      <c r="M27" s="2"/>
      <c r="N27" s="2"/>
      <c r="O27" s="2"/>
      <c r="P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8">
        <v>44214.0</v>
      </c>
      <c r="B28" s="5" t="s">
        <v>273</v>
      </c>
      <c r="C28" s="5" t="s">
        <v>245</v>
      </c>
      <c r="D28" s="10" t="s">
        <v>244</v>
      </c>
      <c r="E28" s="5"/>
      <c r="F28" s="5"/>
      <c r="G28" s="5"/>
      <c r="H28" s="2"/>
      <c r="I28" s="2"/>
      <c r="J28" s="2"/>
      <c r="L28" s="2"/>
      <c r="M28" s="2"/>
      <c r="N28" s="2"/>
      <c r="O28" s="2"/>
      <c r="P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8">
        <v>44214.0</v>
      </c>
      <c r="B29" s="5" t="s">
        <v>274</v>
      </c>
      <c r="C29" s="5" t="s">
        <v>239</v>
      </c>
      <c r="D29" s="10" t="s">
        <v>244</v>
      </c>
      <c r="E29" s="5"/>
      <c r="F29" s="5"/>
      <c r="G29" s="5"/>
      <c r="H29" s="2"/>
      <c r="I29" s="2"/>
      <c r="J29" s="2"/>
      <c r="L29" s="2"/>
      <c r="M29" s="2"/>
      <c r="N29" s="2"/>
      <c r="O29" s="2"/>
      <c r="P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8">
        <v>44214.0</v>
      </c>
      <c r="B30" s="5" t="s">
        <v>275</v>
      </c>
      <c r="C30" s="5" t="s">
        <v>239</v>
      </c>
      <c r="D30" s="10" t="s">
        <v>268</v>
      </c>
      <c r="E30" s="5"/>
      <c r="F30" s="5"/>
      <c r="G30" s="5"/>
      <c r="H30" s="2"/>
      <c r="I30" s="2"/>
      <c r="J30" s="2"/>
      <c r="L30" s="2"/>
      <c r="M30" s="2"/>
      <c r="N30" s="2"/>
      <c r="O30" s="2"/>
      <c r="P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8">
        <v>44215.0</v>
      </c>
      <c r="B31" s="5" t="s">
        <v>276</v>
      </c>
      <c r="C31" s="5" t="s">
        <v>245</v>
      </c>
      <c r="D31" s="10" t="s">
        <v>256</v>
      </c>
      <c r="E31" s="5"/>
      <c r="F31" s="5"/>
      <c r="G31" s="5"/>
      <c r="H31" s="2"/>
      <c r="I31" s="2"/>
      <c r="J31" s="2"/>
      <c r="L31" s="2"/>
      <c r="M31" s="2"/>
      <c r="N31" s="2"/>
      <c r="O31" s="2"/>
      <c r="P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8">
        <v>44216.0</v>
      </c>
      <c r="B32" s="5" t="s">
        <v>277</v>
      </c>
      <c r="C32" s="5" t="s">
        <v>236</v>
      </c>
      <c r="D32" s="10" t="s">
        <v>238</v>
      </c>
      <c r="E32" s="5"/>
      <c r="F32" s="5"/>
      <c r="G32" s="5"/>
      <c r="H32" s="2"/>
      <c r="I32" s="2"/>
      <c r="J32" s="2"/>
      <c r="L32" s="2"/>
      <c r="M32" s="2"/>
      <c r="N32" s="2"/>
      <c r="O32" s="2"/>
      <c r="P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8">
        <v>44216.0</v>
      </c>
      <c r="B33" s="5" t="s">
        <v>278</v>
      </c>
      <c r="C33" s="5" t="s">
        <v>245</v>
      </c>
      <c r="D33" s="10" t="s">
        <v>268</v>
      </c>
      <c r="E33" s="5"/>
      <c r="F33" s="5"/>
      <c r="G33" s="5"/>
      <c r="H33" s="2"/>
      <c r="I33" s="2"/>
      <c r="J33" s="2"/>
      <c r="L33" s="2"/>
      <c r="M33" s="2"/>
      <c r="N33" s="2"/>
      <c r="O33" s="2"/>
      <c r="P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8">
        <v>44216.0</v>
      </c>
      <c r="B34" s="5" t="s">
        <v>279</v>
      </c>
      <c r="C34" s="5" t="s">
        <v>241</v>
      </c>
      <c r="D34" s="10" t="s">
        <v>268</v>
      </c>
      <c r="E34" s="5"/>
      <c r="F34" s="5"/>
      <c r="G34" s="5"/>
      <c r="H34" s="2"/>
      <c r="I34" s="2"/>
      <c r="J34" s="2"/>
      <c r="L34" s="2"/>
      <c r="M34" s="2"/>
      <c r="N34" s="2"/>
      <c r="O34" s="2"/>
      <c r="P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8">
        <v>44218.0</v>
      </c>
      <c r="B35" s="5" t="s">
        <v>280</v>
      </c>
      <c r="C35" s="5" t="s">
        <v>236</v>
      </c>
      <c r="D35" s="10" t="s">
        <v>244</v>
      </c>
      <c r="E35" s="5"/>
      <c r="F35" s="5"/>
      <c r="G35" s="5"/>
      <c r="H35" s="2"/>
      <c r="I35" s="2"/>
      <c r="J35" s="2"/>
      <c r="L35" s="2"/>
      <c r="M35" s="2"/>
      <c r="N35" s="2"/>
      <c r="O35" s="2"/>
      <c r="P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8">
        <v>44218.0</v>
      </c>
      <c r="B36" s="5" t="s">
        <v>281</v>
      </c>
      <c r="C36" s="5" t="s">
        <v>245</v>
      </c>
      <c r="D36" s="10" t="s">
        <v>247</v>
      </c>
      <c r="E36" s="5"/>
      <c r="F36" s="5"/>
      <c r="G36" s="5"/>
      <c r="H36" s="2"/>
      <c r="I36" s="2"/>
      <c r="J36" s="2"/>
      <c r="L36" s="2"/>
      <c r="M36" s="2"/>
      <c r="N36" s="2"/>
      <c r="O36" s="2"/>
      <c r="P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8">
        <v>44218.0</v>
      </c>
      <c r="B37" s="5" t="s">
        <v>282</v>
      </c>
      <c r="C37" s="5" t="s">
        <v>241</v>
      </c>
      <c r="D37" s="10" t="s">
        <v>256</v>
      </c>
      <c r="E37" s="5"/>
      <c r="F37" s="5"/>
      <c r="G37" s="5"/>
      <c r="H37" s="2"/>
      <c r="I37" s="2"/>
      <c r="J37" s="2"/>
      <c r="L37" s="2"/>
      <c r="M37" s="2"/>
      <c r="N37" s="2"/>
      <c r="O37" s="2"/>
      <c r="P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8">
        <v>44220.0</v>
      </c>
      <c r="B38" s="5" t="s">
        <v>283</v>
      </c>
      <c r="C38" s="5" t="s">
        <v>245</v>
      </c>
      <c r="D38" s="10" t="s">
        <v>256</v>
      </c>
      <c r="E38" s="5"/>
      <c r="F38" s="5"/>
      <c r="G38" s="5"/>
      <c r="H38" s="2"/>
      <c r="I38" s="2"/>
      <c r="J38" s="2"/>
      <c r="L38" s="2"/>
      <c r="M38" s="2"/>
      <c r="N38" s="2"/>
      <c r="O38" s="2"/>
      <c r="P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8">
        <v>44220.0</v>
      </c>
      <c r="B39" s="5" t="s">
        <v>284</v>
      </c>
      <c r="C39" s="5" t="s">
        <v>241</v>
      </c>
      <c r="D39" s="10" t="s">
        <v>256</v>
      </c>
      <c r="E39" s="5"/>
      <c r="F39" s="5"/>
      <c r="G39" s="5"/>
      <c r="H39" s="2"/>
      <c r="I39" s="2"/>
      <c r="J39" s="2"/>
      <c r="L39" s="2"/>
      <c r="M39" s="2"/>
      <c r="N39" s="2"/>
      <c r="O39" s="2"/>
      <c r="P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8">
        <v>44221.0</v>
      </c>
      <c r="B40" s="5" t="s">
        <v>285</v>
      </c>
      <c r="C40" s="5" t="s">
        <v>239</v>
      </c>
      <c r="D40" s="10" t="s">
        <v>244</v>
      </c>
      <c r="E40" s="5"/>
      <c r="F40" s="5"/>
      <c r="G40" s="5"/>
      <c r="H40" s="2"/>
      <c r="I40" s="2"/>
      <c r="J40" s="2"/>
      <c r="L40" s="2"/>
      <c r="M40" s="2"/>
      <c r="N40" s="2"/>
      <c r="O40" s="2"/>
      <c r="P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8">
        <v>44221.0</v>
      </c>
      <c r="B41" s="5" t="s">
        <v>286</v>
      </c>
      <c r="C41" s="5" t="s">
        <v>239</v>
      </c>
      <c r="D41" s="10" t="s">
        <v>247</v>
      </c>
      <c r="E41" s="5"/>
      <c r="F41" s="5"/>
      <c r="G41" s="5"/>
      <c r="H41" s="2"/>
      <c r="I41" s="2"/>
      <c r="J41" s="2"/>
      <c r="L41" s="2"/>
      <c r="M41" s="2"/>
      <c r="N41" s="2"/>
      <c r="O41" s="2"/>
      <c r="P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8">
        <v>44222.0</v>
      </c>
      <c r="B42" s="5" t="s">
        <v>287</v>
      </c>
      <c r="C42" s="5" t="s">
        <v>241</v>
      </c>
      <c r="D42" s="10" t="s">
        <v>244</v>
      </c>
      <c r="E42" s="5"/>
      <c r="F42" s="5"/>
      <c r="G42" s="5"/>
      <c r="H42" s="2"/>
      <c r="I42" s="2"/>
      <c r="J42" s="2"/>
      <c r="L42" s="2"/>
      <c r="M42" s="2"/>
      <c r="N42" s="2"/>
      <c r="O42" s="2"/>
      <c r="P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8">
        <v>44223.0</v>
      </c>
      <c r="B43" s="5" t="s">
        <v>288</v>
      </c>
      <c r="C43" s="5" t="s">
        <v>245</v>
      </c>
      <c r="D43" s="10" t="s">
        <v>244</v>
      </c>
      <c r="E43" s="5"/>
      <c r="F43" s="5"/>
      <c r="G43" s="5"/>
      <c r="H43" s="2"/>
      <c r="I43" s="2"/>
      <c r="J43" s="2"/>
      <c r="L43" s="2"/>
      <c r="M43" s="2"/>
      <c r="N43" s="2"/>
      <c r="O43" s="2"/>
      <c r="P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8">
        <v>44223.0</v>
      </c>
      <c r="B44" s="5" t="s">
        <v>289</v>
      </c>
      <c r="C44" s="5" t="s">
        <v>236</v>
      </c>
      <c r="D44" s="10" t="s">
        <v>256</v>
      </c>
      <c r="E44" s="5"/>
      <c r="F44" s="5"/>
      <c r="G44" s="5"/>
      <c r="H44" s="2"/>
      <c r="I44" s="2"/>
      <c r="J44" s="2"/>
      <c r="L44" s="2"/>
      <c r="M44" s="2"/>
      <c r="N44" s="2"/>
      <c r="O44" s="2"/>
      <c r="P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8">
        <v>44224.0</v>
      </c>
      <c r="B45" s="5" t="s">
        <v>290</v>
      </c>
      <c r="C45" s="5" t="s">
        <v>239</v>
      </c>
      <c r="D45" s="10" t="s">
        <v>244</v>
      </c>
      <c r="E45" s="5"/>
      <c r="F45" s="5"/>
      <c r="G45" s="5"/>
      <c r="H45" s="2"/>
      <c r="I45" s="2"/>
      <c r="J45" s="2"/>
      <c r="L45" s="2"/>
      <c r="M45" s="2"/>
      <c r="N45" s="2"/>
      <c r="O45" s="2"/>
      <c r="P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8">
        <v>44225.0</v>
      </c>
      <c r="B46" s="5" t="s">
        <v>291</v>
      </c>
      <c r="C46" s="5" t="s">
        <v>239</v>
      </c>
      <c r="D46" s="10" t="s">
        <v>238</v>
      </c>
      <c r="E46" s="5"/>
      <c r="F46" s="5"/>
      <c r="G46" s="5"/>
      <c r="H46" s="2"/>
      <c r="I46" s="2"/>
      <c r="J46" s="2"/>
      <c r="L46" s="2"/>
      <c r="M46" s="2"/>
      <c r="N46" s="2"/>
      <c r="O46" s="2"/>
      <c r="P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8">
        <v>44225.0</v>
      </c>
      <c r="B47" s="5" t="s">
        <v>292</v>
      </c>
      <c r="C47" s="5" t="s">
        <v>239</v>
      </c>
      <c r="D47" s="10" t="s">
        <v>268</v>
      </c>
      <c r="E47" s="5"/>
      <c r="F47" s="5"/>
      <c r="G47" s="5"/>
      <c r="H47" s="2"/>
      <c r="I47" s="2"/>
      <c r="J47" s="2"/>
      <c r="L47" s="2"/>
      <c r="M47" s="2"/>
      <c r="N47" s="2"/>
      <c r="O47" s="2"/>
      <c r="P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8">
        <v>44225.0</v>
      </c>
      <c r="B48" s="5" t="s">
        <v>293</v>
      </c>
      <c r="C48" s="5" t="s">
        <v>239</v>
      </c>
      <c r="D48" s="10" t="s">
        <v>268</v>
      </c>
      <c r="E48" s="5"/>
      <c r="F48" s="5"/>
      <c r="G48" s="5"/>
      <c r="H48" s="2"/>
      <c r="I48" s="2"/>
      <c r="J48" s="2"/>
      <c r="L48" s="2"/>
      <c r="M48" s="2"/>
      <c r="N48" s="2"/>
      <c r="O48" s="2"/>
      <c r="P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8">
        <v>44225.0</v>
      </c>
      <c r="B49" s="5" t="s">
        <v>294</v>
      </c>
      <c r="C49" s="5" t="s">
        <v>245</v>
      </c>
      <c r="D49" s="10" t="s">
        <v>247</v>
      </c>
      <c r="E49" s="5"/>
      <c r="F49" s="5"/>
      <c r="G49" s="5"/>
      <c r="H49" s="2"/>
      <c r="I49" s="2"/>
      <c r="J49" s="2"/>
      <c r="L49" s="2"/>
      <c r="M49" s="2"/>
      <c r="N49" s="2"/>
      <c r="O49" s="2"/>
      <c r="P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8">
        <v>44227.0</v>
      </c>
      <c r="B50" s="5" t="s">
        <v>295</v>
      </c>
      <c r="C50" s="5" t="s">
        <v>245</v>
      </c>
      <c r="D50" s="10" t="s">
        <v>268</v>
      </c>
      <c r="E50" s="5"/>
      <c r="F50" s="5"/>
      <c r="G50" s="5"/>
      <c r="H50" s="2"/>
      <c r="I50" s="2"/>
      <c r="J50" s="2"/>
      <c r="K50" s="2"/>
      <c r="L50" s="2"/>
      <c r="M50" s="2"/>
      <c r="N50" s="2"/>
      <c r="O50" s="2"/>
      <c r="P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8"/>
      <c r="B51" s="5"/>
      <c r="C51" s="5"/>
      <c r="D51" s="10"/>
      <c r="E51" s="5"/>
      <c r="F51" s="5"/>
      <c r="G51" s="5"/>
      <c r="H51" s="2"/>
      <c r="I51" s="2"/>
      <c r="J51" s="2"/>
      <c r="K51" s="2"/>
      <c r="L51" s="2"/>
      <c r="M51" s="2"/>
      <c r="N51" s="2"/>
      <c r="O51" s="2"/>
      <c r="P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8"/>
      <c r="B52" s="5"/>
      <c r="C52" s="5"/>
      <c r="D52" s="10"/>
      <c r="E52" s="5"/>
      <c r="F52" s="5"/>
      <c r="G52" s="5"/>
      <c r="H52" s="2"/>
      <c r="I52" s="2"/>
      <c r="J52" s="2"/>
      <c r="K52" s="2"/>
      <c r="L52" s="2"/>
      <c r="M52" s="2"/>
      <c r="N52" s="2"/>
      <c r="O52" s="2"/>
      <c r="P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8"/>
      <c r="B53" s="5"/>
      <c r="C53" s="5"/>
      <c r="D53" s="10"/>
      <c r="E53" s="5"/>
      <c r="F53" s="5"/>
      <c r="G53" s="5"/>
      <c r="H53" s="2"/>
      <c r="I53" s="2"/>
      <c r="J53" s="2"/>
      <c r="K53" s="2"/>
      <c r="L53" s="2"/>
      <c r="M53" s="2"/>
      <c r="N53" s="2"/>
      <c r="O53" s="2"/>
      <c r="P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8"/>
      <c r="B54" s="5"/>
      <c r="C54" s="5"/>
      <c r="D54" s="10"/>
      <c r="E54" s="5"/>
      <c r="F54" s="5"/>
      <c r="G54" s="5"/>
      <c r="H54" s="2"/>
      <c r="I54" s="2"/>
      <c r="J54" s="2"/>
      <c r="K54" s="2"/>
      <c r="L54" s="2"/>
      <c r="M54" s="2"/>
      <c r="N54" s="2"/>
      <c r="O54" s="2"/>
      <c r="P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8"/>
      <c r="B55" s="5"/>
      <c r="C55" s="5"/>
      <c r="D55" s="10"/>
      <c r="E55" s="5"/>
      <c r="F55" s="5"/>
      <c r="G55" s="5"/>
      <c r="H55" s="2"/>
      <c r="I55" s="2"/>
      <c r="J55" s="2"/>
      <c r="K55" s="2"/>
      <c r="L55" s="2"/>
      <c r="M55" s="2"/>
      <c r="N55" s="2"/>
      <c r="O55" s="2"/>
      <c r="P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8"/>
      <c r="B56" s="5"/>
      <c r="C56" s="5"/>
      <c r="D56" s="10"/>
      <c r="E56" s="5"/>
      <c r="F56" s="5"/>
      <c r="G56" s="5"/>
      <c r="H56" s="2"/>
      <c r="I56" s="2"/>
      <c r="J56" s="2"/>
      <c r="K56" s="2"/>
      <c r="L56" s="2"/>
      <c r="M56" s="2"/>
      <c r="N56" s="2"/>
      <c r="O56" s="2"/>
      <c r="P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8"/>
      <c r="B57" s="5"/>
      <c r="C57" s="5"/>
      <c r="D57" s="10"/>
      <c r="E57" s="5"/>
      <c r="F57" s="5"/>
      <c r="G57" s="5"/>
      <c r="H57" s="2"/>
      <c r="I57" s="2"/>
      <c r="J57" s="2"/>
      <c r="K57" s="2"/>
      <c r="L57" s="2"/>
      <c r="M57" s="2"/>
      <c r="N57" s="2"/>
      <c r="O57" s="2"/>
      <c r="P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8"/>
      <c r="B58" s="5"/>
      <c r="C58" s="5"/>
      <c r="D58" s="10"/>
      <c r="E58" s="5"/>
      <c r="F58" s="5"/>
      <c r="G58" s="5"/>
      <c r="H58" s="2"/>
      <c r="I58" s="2"/>
      <c r="J58" s="2"/>
      <c r="K58" s="2"/>
      <c r="L58" s="2"/>
      <c r="M58" s="2"/>
      <c r="N58" s="2"/>
      <c r="O58" s="2"/>
      <c r="P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8"/>
      <c r="B59" s="5"/>
      <c r="C59" s="5"/>
      <c r="D59" s="10"/>
      <c r="E59" s="5"/>
      <c r="F59" s="5"/>
      <c r="G59" s="5"/>
      <c r="H59" s="2"/>
      <c r="I59" s="2"/>
      <c r="J59" s="2"/>
      <c r="K59" s="2"/>
      <c r="L59" s="2"/>
      <c r="M59" s="2"/>
      <c r="N59" s="2"/>
      <c r="O59" s="2"/>
      <c r="P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8"/>
      <c r="B60" s="5"/>
      <c r="C60" s="5"/>
      <c r="D60" s="10"/>
      <c r="E60" s="5"/>
      <c r="F60" s="5"/>
      <c r="G60" s="5"/>
      <c r="H60" s="2"/>
      <c r="I60" s="2"/>
      <c r="J60" s="2"/>
      <c r="K60" s="2"/>
      <c r="L60" s="2"/>
      <c r="M60" s="2"/>
      <c r="N60" s="2"/>
      <c r="O60" s="2"/>
      <c r="P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8"/>
      <c r="B61" s="5"/>
      <c r="C61" s="5"/>
      <c r="D61" s="10"/>
      <c r="E61" s="5"/>
      <c r="F61" s="5"/>
      <c r="G61" s="5"/>
      <c r="H61" s="2"/>
      <c r="I61" s="2"/>
      <c r="J61" s="2"/>
      <c r="K61" s="2"/>
      <c r="L61" s="2"/>
      <c r="M61" s="2"/>
      <c r="N61" s="2"/>
      <c r="O61" s="2"/>
      <c r="P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8"/>
      <c r="B62" s="5"/>
      <c r="C62" s="5"/>
      <c r="D62" s="10"/>
      <c r="E62" s="5"/>
      <c r="F62" s="5"/>
      <c r="G62" s="5"/>
      <c r="H62" s="2"/>
      <c r="I62" s="2"/>
      <c r="J62" s="2"/>
      <c r="K62" s="2"/>
      <c r="L62" s="2"/>
      <c r="M62" s="2"/>
      <c r="N62" s="2"/>
      <c r="O62" s="2"/>
      <c r="P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8"/>
      <c r="B63" s="5"/>
      <c r="C63" s="5"/>
      <c r="D63" s="10"/>
      <c r="E63" s="5"/>
      <c r="F63" s="5"/>
      <c r="G63" s="5"/>
      <c r="H63" s="2"/>
      <c r="I63" s="2"/>
      <c r="J63" s="2"/>
      <c r="K63" s="2"/>
      <c r="L63" s="2"/>
      <c r="M63" s="2"/>
      <c r="N63" s="2"/>
      <c r="O63" s="2"/>
      <c r="P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8"/>
      <c r="B64" s="5"/>
      <c r="C64" s="5"/>
      <c r="D64" s="10"/>
      <c r="E64" s="5"/>
      <c r="F64" s="5"/>
      <c r="G64" s="5"/>
      <c r="H64" s="2"/>
      <c r="I64" s="2"/>
      <c r="J64" s="2"/>
      <c r="K64" s="2"/>
      <c r="L64" s="2"/>
      <c r="M64" s="2"/>
      <c r="N64" s="2"/>
      <c r="O64" s="2"/>
      <c r="P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8"/>
      <c r="B65" s="5"/>
      <c r="C65" s="5"/>
      <c r="D65" s="10"/>
      <c r="E65" s="5"/>
      <c r="F65" s="5"/>
      <c r="G65" s="5"/>
      <c r="H65" s="2"/>
      <c r="I65" s="2"/>
      <c r="J65" s="2"/>
      <c r="K65" s="2"/>
      <c r="L65" s="2"/>
      <c r="M65" s="2"/>
      <c r="N65" s="2"/>
      <c r="O65" s="2"/>
      <c r="P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8"/>
      <c r="B66" s="5"/>
      <c r="C66" s="5"/>
      <c r="D66" s="10"/>
      <c r="E66" s="5"/>
      <c r="F66" s="5"/>
      <c r="G66" s="5"/>
      <c r="H66" s="2"/>
      <c r="I66" s="2"/>
      <c r="J66" s="2"/>
      <c r="K66" s="2"/>
      <c r="L66" s="2"/>
      <c r="M66" s="2"/>
      <c r="N66" s="2"/>
      <c r="O66" s="2"/>
      <c r="P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8"/>
      <c r="B67" s="5"/>
      <c r="C67" s="5"/>
      <c r="D67" s="10"/>
      <c r="E67" s="5"/>
      <c r="F67" s="5"/>
      <c r="G67" s="5"/>
      <c r="H67" s="2"/>
      <c r="I67" s="2"/>
      <c r="J67" s="2"/>
      <c r="K67" s="2"/>
      <c r="L67" s="2"/>
      <c r="M67" s="2"/>
      <c r="N67" s="2"/>
      <c r="O67" s="2"/>
      <c r="P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8"/>
      <c r="B68" s="5"/>
      <c r="C68" s="5"/>
      <c r="D68" s="10"/>
      <c r="E68" s="5"/>
      <c r="F68" s="5"/>
      <c r="G68" s="5"/>
      <c r="H68" s="2"/>
      <c r="I68" s="2"/>
      <c r="J68" s="2"/>
      <c r="K68" s="2"/>
      <c r="L68" s="2"/>
      <c r="M68" s="2"/>
      <c r="N68" s="2"/>
      <c r="O68" s="2"/>
      <c r="P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8"/>
      <c r="B69" s="5"/>
      <c r="C69" s="5"/>
      <c r="D69" s="10"/>
      <c r="E69" s="5"/>
      <c r="F69" s="5"/>
      <c r="G69" s="5"/>
      <c r="H69" s="2"/>
      <c r="I69" s="2"/>
      <c r="J69" s="2"/>
      <c r="K69" s="2"/>
      <c r="L69" s="2"/>
      <c r="M69" s="2"/>
      <c r="N69" s="2"/>
      <c r="O69" s="2"/>
      <c r="P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8"/>
      <c r="B70" s="5"/>
      <c r="C70" s="5"/>
      <c r="D70" s="10"/>
      <c r="E70" s="5"/>
      <c r="F70" s="5"/>
      <c r="G70" s="5"/>
      <c r="H70" s="2"/>
      <c r="I70" s="2"/>
      <c r="J70" s="2"/>
      <c r="K70" s="2"/>
      <c r="L70" s="2"/>
      <c r="M70" s="2"/>
      <c r="N70" s="2"/>
      <c r="O70" s="2"/>
      <c r="P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8"/>
      <c r="B71" s="5"/>
      <c r="C71" s="5"/>
      <c r="D71" s="10"/>
      <c r="E71" s="5"/>
      <c r="F71" s="5"/>
      <c r="G71" s="5"/>
      <c r="H71" s="2"/>
      <c r="I71" s="2"/>
      <c r="J71" s="2"/>
      <c r="K71" s="2"/>
      <c r="L71" s="2"/>
      <c r="M71" s="2"/>
      <c r="N71" s="2"/>
      <c r="O71" s="2"/>
      <c r="P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8"/>
      <c r="B72" s="5"/>
      <c r="C72" s="5"/>
      <c r="D72" s="10"/>
      <c r="E72" s="5"/>
      <c r="F72" s="5"/>
      <c r="G72" s="5"/>
      <c r="H72" s="2"/>
      <c r="I72" s="2"/>
      <c r="J72" s="2"/>
      <c r="K72" s="2"/>
      <c r="L72" s="2"/>
      <c r="M72" s="2"/>
      <c r="N72" s="2"/>
      <c r="O72" s="2"/>
      <c r="P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8"/>
      <c r="B73" s="5"/>
      <c r="C73" s="5"/>
      <c r="D73" s="10"/>
      <c r="E73" s="5"/>
      <c r="F73" s="5"/>
      <c r="G73" s="5"/>
      <c r="H73" s="2"/>
      <c r="I73" s="2"/>
      <c r="J73" s="2"/>
      <c r="K73" s="2"/>
      <c r="L73" s="2"/>
      <c r="M73" s="2"/>
      <c r="N73" s="2"/>
      <c r="O73" s="2"/>
      <c r="P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8"/>
      <c r="B74" s="5"/>
      <c r="C74" s="5"/>
      <c r="D74" s="10"/>
      <c r="E74" s="5"/>
      <c r="F74" s="5"/>
      <c r="G74" s="5"/>
      <c r="H74" s="2"/>
      <c r="I74" s="2"/>
      <c r="J74" s="2"/>
      <c r="K74" s="2"/>
      <c r="L74" s="2"/>
      <c r="M74" s="2"/>
      <c r="N74" s="2"/>
      <c r="O74" s="2"/>
      <c r="P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8"/>
      <c r="B75" s="5"/>
      <c r="C75" s="5"/>
      <c r="D75" s="10"/>
      <c r="E75" s="5"/>
      <c r="F75" s="5"/>
      <c r="G75" s="5"/>
      <c r="H75" s="2"/>
      <c r="I75" s="2"/>
      <c r="J75" s="2"/>
      <c r="K75" s="2"/>
      <c r="L75" s="2"/>
      <c r="M75" s="2"/>
      <c r="N75" s="2"/>
      <c r="O75" s="2"/>
      <c r="P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8"/>
      <c r="B76" s="5"/>
      <c r="C76" s="5"/>
      <c r="D76" s="10"/>
      <c r="E76" s="5"/>
      <c r="F76" s="5"/>
      <c r="G76" s="5"/>
      <c r="H76" s="2"/>
      <c r="I76" s="2"/>
      <c r="J76" s="2"/>
      <c r="K76" s="2"/>
      <c r="L76" s="2"/>
      <c r="M76" s="2"/>
      <c r="N76" s="2"/>
      <c r="O76" s="2"/>
      <c r="P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8"/>
      <c r="B77" s="5"/>
      <c r="C77" s="5"/>
      <c r="D77" s="10"/>
      <c r="E77" s="5"/>
      <c r="F77" s="5"/>
      <c r="G77" s="5"/>
      <c r="H77" s="2"/>
      <c r="I77" s="2"/>
      <c r="J77" s="2"/>
      <c r="K77" s="2"/>
      <c r="L77" s="2"/>
      <c r="M77" s="2"/>
      <c r="N77" s="2"/>
      <c r="O77" s="2"/>
      <c r="P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8"/>
      <c r="B78" s="5"/>
      <c r="C78" s="5"/>
      <c r="D78" s="10"/>
      <c r="E78" s="5"/>
      <c r="F78" s="5"/>
      <c r="G78" s="5"/>
      <c r="H78" s="2"/>
      <c r="I78" s="2"/>
      <c r="J78" s="2"/>
      <c r="K78" s="2"/>
      <c r="L78" s="2"/>
      <c r="M78" s="2"/>
      <c r="N78" s="2"/>
      <c r="O78" s="2"/>
      <c r="P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8"/>
      <c r="B79" s="5"/>
      <c r="C79" s="5"/>
      <c r="D79" s="10"/>
      <c r="E79" s="5"/>
      <c r="F79" s="5"/>
      <c r="G79" s="5"/>
      <c r="H79" s="2"/>
      <c r="I79" s="2"/>
      <c r="J79" s="2"/>
      <c r="K79" s="2"/>
      <c r="L79" s="2"/>
      <c r="M79" s="2"/>
      <c r="N79" s="2"/>
      <c r="O79" s="2"/>
      <c r="P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8"/>
      <c r="B80" s="5"/>
      <c r="C80" s="5"/>
      <c r="D80" s="10"/>
      <c r="E80" s="5"/>
      <c r="F80" s="5"/>
      <c r="G80" s="5"/>
      <c r="H80" s="2"/>
      <c r="I80" s="2"/>
      <c r="J80" s="2"/>
      <c r="K80" s="2"/>
      <c r="L80" s="2"/>
      <c r="M80" s="2"/>
      <c r="N80" s="2"/>
      <c r="O80" s="2"/>
      <c r="P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8"/>
      <c r="B81" s="5"/>
      <c r="C81" s="5"/>
      <c r="D81" s="10"/>
      <c r="E81" s="5"/>
      <c r="F81" s="5"/>
      <c r="G81" s="5"/>
      <c r="H81" s="2"/>
      <c r="I81" s="2"/>
      <c r="J81" s="2"/>
      <c r="K81" s="2"/>
      <c r="L81" s="2"/>
      <c r="M81" s="2"/>
      <c r="N81" s="2"/>
      <c r="O81" s="2"/>
      <c r="P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8"/>
      <c r="B82" s="5"/>
      <c r="C82" s="5"/>
      <c r="D82" s="10"/>
      <c r="E82" s="5"/>
      <c r="F82" s="5"/>
      <c r="G82" s="5"/>
      <c r="H82" s="2"/>
      <c r="I82" s="2"/>
      <c r="J82" s="2"/>
      <c r="K82" s="2"/>
      <c r="L82" s="2"/>
      <c r="M82" s="2"/>
      <c r="N82" s="2"/>
      <c r="O82" s="2"/>
      <c r="P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8"/>
      <c r="B83" s="5"/>
      <c r="C83" s="5"/>
      <c r="D83" s="10"/>
      <c r="E83" s="5"/>
      <c r="F83" s="5"/>
      <c r="G83" s="5"/>
      <c r="H83" s="2"/>
      <c r="I83" s="2"/>
      <c r="J83" s="2"/>
      <c r="K83" s="2"/>
      <c r="L83" s="2"/>
      <c r="M83" s="2"/>
      <c r="N83" s="2"/>
      <c r="O83" s="2"/>
      <c r="P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8"/>
      <c r="B84" s="5"/>
      <c r="C84" s="5"/>
      <c r="D84" s="10"/>
      <c r="E84" s="5"/>
      <c r="F84" s="5"/>
      <c r="G84" s="5"/>
      <c r="H84" s="2"/>
      <c r="I84" s="2"/>
      <c r="J84" s="2"/>
      <c r="K84" s="2"/>
      <c r="L84" s="2"/>
      <c r="M84" s="2"/>
      <c r="N84" s="2"/>
      <c r="O84" s="2"/>
      <c r="P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8"/>
      <c r="B85" s="5"/>
      <c r="C85" s="5"/>
      <c r="D85" s="10"/>
      <c r="E85" s="5"/>
      <c r="F85" s="5"/>
      <c r="G85" s="5"/>
      <c r="H85" s="2"/>
      <c r="I85" s="2"/>
      <c r="J85" s="2"/>
      <c r="K85" s="2"/>
      <c r="L85" s="2"/>
      <c r="M85" s="2"/>
      <c r="N85" s="2"/>
      <c r="O85" s="2"/>
      <c r="P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8"/>
      <c r="B86" s="5"/>
      <c r="C86" s="5"/>
      <c r="D86" s="10"/>
      <c r="E86" s="5"/>
      <c r="F86" s="5"/>
      <c r="G86" s="5"/>
      <c r="H86" s="2"/>
      <c r="I86" s="2"/>
      <c r="J86" s="2"/>
      <c r="K86" s="2"/>
      <c r="L86" s="2"/>
      <c r="M86" s="2"/>
      <c r="N86" s="2"/>
      <c r="O86" s="2"/>
      <c r="P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8"/>
      <c r="B87" s="5"/>
      <c r="C87" s="5"/>
      <c r="D87" s="10"/>
      <c r="E87" s="5"/>
      <c r="F87" s="5"/>
      <c r="G87" s="5"/>
      <c r="H87" s="2"/>
      <c r="I87" s="2"/>
      <c r="J87" s="2"/>
      <c r="K87" s="2"/>
      <c r="L87" s="2"/>
      <c r="M87" s="2"/>
      <c r="N87" s="2"/>
      <c r="O87" s="2"/>
      <c r="P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8"/>
      <c r="B88" s="5"/>
      <c r="C88" s="5"/>
      <c r="D88" s="10"/>
      <c r="E88" s="5"/>
      <c r="F88" s="5"/>
      <c r="G88" s="5"/>
      <c r="H88" s="2"/>
      <c r="I88" s="2"/>
      <c r="J88" s="2"/>
      <c r="K88" s="2"/>
      <c r="L88" s="2"/>
      <c r="M88" s="2"/>
      <c r="N88" s="2"/>
      <c r="O88" s="2"/>
      <c r="P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8"/>
      <c r="B89" s="5"/>
      <c r="C89" s="5"/>
      <c r="D89" s="10"/>
      <c r="E89" s="5"/>
      <c r="F89" s="5"/>
      <c r="G89" s="5"/>
      <c r="H89" s="2"/>
      <c r="I89" s="2"/>
      <c r="J89" s="2"/>
      <c r="K89" s="2"/>
      <c r="L89" s="2"/>
      <c r="M89" s="2"/>
      <c r="N89" s="2"/>
      <c r="O89" s="2"/>
      <c r="P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8"/>
      <c r="B90" s="5"/>
      <c r="C90" s="5"/>
      <c r="D90" s="10"/>
      <c r="E90" s="5"/>
      <c r="F90" s="5"/>
      <c r="G90" s="5"/>
      <c r="H90" s="2"/>
      <c r="I90" s="2"/>
      <c r="J90" s="2"/>
      <c r="K90" s="2"/>
      <c r="L90" s="2"/>
      <c r="M90" s="2"/>
      <c r="N90" s="2"/>
      <c r="O90" s="2"/>
      <c r="P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8"/>
      <c r="B91" s="5"/>
      <c r="C91" s="5"/>
      <c r="D91" s="10"/>
      <c r="E91" s="5"/>
      <c r="F91" s="5"/>
      <c r="G91" s="5"/>
      <c r="H91" s="2"/>
      <c r="I91" s="2"/>
      <c r="J91" s="2"/>
      <c r="K91" s="2"/>
      <c r="L91" s="2"/>
      <c r="M91" s="2"/>
      <c r="N91" s="2"/>
      <c r="O91" s="2"/>
      <c r="P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8"/>
      <c r="B92" s="5"/>
      <c r="C92" s="5"/>
      <c r="D92" s="10"/>
      <c r="E92" s="5"/>
      <c r="F92" s="5"/>
      <c r="G92" s="5"/>
      <c r="H92" s="2"/>
      <c r="I92" s="2"/>
      <c r="J92" s="2"/>
      <c r="K92" s="2"/>
      <c r="L92" s="2"/>
      <c r="M92" s="2"/>
      <c r="N92" s="2"/>
      <c r="O92" s="2"/>
      <c r="P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8"/>
      <c r="B93" s="5"/>
      <c r="C93" s="5"/>
      <c r="D93" s="10"/>
      <c r="E93" s="5"/>
      <c r="F93" s="5"/>
      <c r="G93" s="5"/>
      <c r="H93" s="2"/>
      <c r="I93" s="2"/>
      <c r="J93" s="2"/>
      <c r="K93" s="2"/>
      <c r="L93" s="2"/>
      <c r="M93" s="2"/>
      <c r="N93" s="2"/>
      <c r="O93" s="2"/>
      <c r="P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8"/>
      <c r="B94" s="5"/>
      <c r="C94" s="5"/>
      <c r="D94" s="10"/>
      <c r="E94" s="5"/>
      <c r="F94" s="5"/>
      <c r="G94" s="5"/>
      <c r="H94" s="2"/>
      <c r="I94" s="2"/>
      <c r="J94" s="2"/>
      <c r="K94" s="2"/>
      <c r="L94" s="2"/>
      <c r="M94" s="2"/>
      <c r="N94" s="2"/>
      <c r="O94" s="2"/>
      <c r="P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8"/>
      <c r="B95" s="5"/>
      <c r="C95" s="5"/>
      <c r="D95" s="10"/>
      <c r="E95" s="5"/>
      <c r="F95" s="5"/>
      <c r="G95" s="5"/>
      <c r="H95" s="2"/>
      <c r="I95" s="2"/>
      <c r="J95" s="2"/>
      <c r="K95" s="2"/>
      <c r="L95" s="2"/>
      <c r="M95" s="2"/>
      <c r="N95" s="2"/>
      <c r="O95" s="2"/>
      <c r="P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8"/>
      <c r="B96" s="5"/>
      <c r="C96" s="5"/>
      <c r="D96" s="10"/>
      <c r="E96" s="5"/>
      <c r="F96" s="5"/>
      <c r="G96" s="5"/>
      <c r="H96" s="2"/>
      <c r="I96" s="2"/>
      <c r="J96" s="2"/>
      <c r="K96" s="2"/>
      <c r="L96" s="2"/>
      <c r="M96" s="2"/>
      <c r="N96" s="2"/>
      <c r="O96" s="2"/>
      <c r="P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8"/>
      <c r="B97" s="5"/>
      <c r="C97" s="5"/>
      <c r="D97" s="10"/>
      <c r="E97" s="5"/>
      <c r="F97" s="5"/>
      <c r="G97" s="5"/>
      <c r="H97" s="2"/>
      <c r="I97" s="2"/>
      <c r="J97" s="2"/>
      <c r="K97" s="2"/>
      <c r="L97" s="2"/>
      <c r="M97" s="2"/>
      <c r="N97" s="2"/>
      <c r="O97" s="2"/>
      <c r="P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8"/>
      <c r="B98" s="5"/>
      <c r="C98" s="5"/>
      <c r="D98" s="10"/>
      <c r="E98" s="5"/>
      <c r="F98" s="5"/>
      <c r="G98" s="5"/>
      <c r="H98" s="2"/>
      <c r="I98" s="2"/>
      <c r="J98" s="2"/>
      <c r="K98" s="2"/>
      <c r="L98" s="2"/>
      <c r="M98" s="2"/>
      <c r="N98" s="2"/>
      <c r="O98" s="2"/>
      <c r="P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8"/>
      <c r="B99" s="5"/>
      <c r="C99" s="5"/>
      <c r="D99" s="10"/>
      <c r="E99" s="5"/>
      <c r="F99" s="5"/>
      <c r="G99" s="5"/>
      <c r="H99" s="2"/>
      <c r="I99" s="2"/>
      <c r="J99" s="2"/>
      <c r="K99" s="2"/>
      <c r="L99" s="2"/>
      <c r="M99" s="2"/>
      <c r="N99" s="2"/>
      <c r="O99" s="2"/>
      <c r="P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8"/>
      <c r="B100" s="5"/>
      <c r="C100" s="5"/>
      <c r="D100" s="10"/>
      <c r="E100" s="5"/>
      <c r="F100" s="5"/>
      <c r="G100" s="5"/>
      <c r="H100" s="2"/>
      <c r="I100" s="2"/>
      <c r="J100" s="2"/>
      <c r="K100" s="2"/>
      <c r="L100" s="2"/>
      <c r="M100" s="2"/>
      <c r="N100" s="2"/>
      <c r="O100" s="2"/>
      <c r="P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8"/>
      <c r="B101" s="5"/>
      <c r="C101" s="5"/>
      <c r="D101" s="10"/>
      <c r="E101" s="5"/>
      <c r="F101" s="5"/>
      <c r="G101" s="5"/>
      <c r="H101" s="2"/>
      <c r="I101" s="2"/>
      <c r="J101" s="2"/>
      <c r="K101" s="2"/>
      <c r="L101" s="2"/>
      <c r="M101" s="2"/>
      <c r="N101" s="2"/>
      <c r="O101" s="2"/>
      <c r="P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8"/>
      <c r="B102" s="5"/>
      <c r="C102" s="5"/>
      <c r="D102" s="10"/>
      <c r="E102" s="5"/>
      <c r="F102" s="5"/>
      <c r="G102" s="5"/>
      <c r="H102" s="2"/>
      <c r="I102" s="2"/>
      <c r="J102" s="2"/>
      <c r="K102" s="2"/>
      <c r="L102" s="2"/>
      <c r="M102" s="2"/>
      <c r="N102" s="2"/>
      <c r="O102" s="2"/>
      <c r="P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8"/>
      <c r="B103" s="5"/>
      <c r="C103" s="5"/>
      <c r="D103" s="10"/>
      <c r="E103" s="5"/>
      <c r="F103" s="5"/>
      <c r="G103" s="5"/>
      <c r="H103" s="2"/>
      <c r="I103" s="2"/>
      <c r="J103" s="2"/>
      <c r="K103" s="2"/>
      <c r="L103" s="2"/>
      <c r="M103" s="2"/>
      <c r="N103" s="2"/>
      <c r="O103" s="2"/>
      <c r="P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8"/>
      <c r="B104" s="5"/>
      <c r="C104" s="5"/>
      <c r="D104" s="10"/>
      <c r="E104" s="5"/>
      <c r="F104" s="5"/>
      <c r="G104" s="5"/>
      <c r="H104" s="2"/>
      <c r="I104" s="2"/>
      <c r="J104" s="2"/>
      <c r="K104" s="2"/>
      <c r="L104" s="2"/>
      <c r="M104" s="2"/>
      <c r="N104" s="2"/>
      <c r="O104" s="2"/>
      <c r="P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8"/>
      <c r="B105" s="5"/>
      <c r="C105" s="5"/>
      <c r="D105" s="10"/>
      <c r="E105" s="5"/>
      <c r="F105" s="5"/>
      <c r="G105" s="5"/>
      <c r="H105" s="2"/>
      <c r="I105" s="2"/>
      <c r="J105" s="2"/>
      <c r="K105" s="2"/>
      <c r="L105" s="2"/>
      <c r="M105" s="2"/>
      <c r="N105" s="2"/>
      <c r="O105" s="2"/>
      <c r="P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8"/>
      <c r="B106" s="5"/>
      <c r="C106" s="5"/>
      <c r="D106" s="10"/>
      <c r="E106" s="5"/>
      <c r="F106" s="5"/>
      <c r="G106" s="5"/>
      <c r="H106" s="2"/>
      <c r="I106" s="2"/>
      <c r="J106" s="2"/>
      <c r="K106" s="2"/>
      <c r="L106" s="2"/>
      <c r="M106" s="2"/>
      <c r="N106" s="2"/>
      <c r="O106" s="2"/>
      <c r="P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8"/>
      <c r="B107" s="5"/>
      <c r="C107" s="5"/>
      <c r="D107" s="10"/>
      <c r="E107" s="5"/>
      <c r="F107" s="5"/>
      <c r="G107" s="5"/>
      <c r="H107" s="2"/>
      <c r="I107" s="2"/>
      <c r="J107" s="2"/>
      <c r="K107" s="2"/>
      <c r="L107" s="2"/>
      <c r="M107" s="2"/>
      <c r="N107" s="2"/>
      <c r="O107" s="2"/>
      <c r="P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8"/>
      <c r="B108" s="5"/>
      <c r="C108" s="5"/>
      <c r="D108" s="10"/>
      <c r="E108" s="5"/>
      <c r="F108" s="5"/>
      <c r="G108" s="5"/>
      <c r="H108" s="2"/>
      <c r="I108" s="2"/>
      <c r="J108" s="2"/>
      <c r="K108" s="2"/>
      <c r="L108" s="2"/>
      <c r="M108" s="2"/>
      <c r="N108" s="2"/>
      <c r="O108" s="2"/>
      <c r="P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8"/>
      <c r="B109" s="5"/>
      <c r="C109" s="5"/>
      <c r="D109" s="10"/>
      <c r="E109" s="5"/>
      <c r="F109" s="5"/>
      <c r="G109" s="5"/>
      <c r="H109" s="2"/>
      <c r="I109" s="2"/>
      <c r="J109" s="2"/>
      <c r="K109" s="2"/>
      <c r="L109" s="2"/>
      <c r="M109" s="2"/>
      <c r="N109" s="2"/>
      <c r="O109" s="2"/>
      <c r="P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8"/>
      <c r="B110" s="5"/>
      <c r="C110" s="5"/>
      <c r="D110" s="10"/>
      <c r="E110" s="5"/>
      <c r="F110" s="5"/>
      <c r="G110" s="5"/>
      <c r="H110" s="2"/>
      <c r="I110" s="2"/>
      <c r="J110" s="2"/>
      <c r="K110" s="2"/>
      <c r="L110" s="2"/>
      <c r="M110" s="2"/>
      <c r="N110" s="2"/>
      <c r="O110" s="2"/>
      <c r="P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8"/>
      <c r="B111" s="5"/>
      <c r="C111" s="5"/>
      <c r="D111" s="10"/>
      <c r="E111" s="5"/>
      <c r="F111" s="5"/>
      <c r="G111" s="5"/>
      <c r="H111" s="2"/>
      <c r="I111" s="2"/>
      <c r="J111" s="2"/>
      <c r="K111" s="2"/>
      <c r="L111" s="2"/>
      <c r="M111" s="2"/>
      <c r="N111" s="2"/>
      <c r="O111" s="2"/>
      <c r="P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8"/>
      <c r="B112" s="5"/>
      <c r="C112" s="5"/>
      <c r="D112" s="10"/>
      <c r="E112" s="5"/>
      <c r="F112" s="5"/>
      <c r="G112" s="5"/>
      <c r="H112" s="2"/>
      <c r="I112" s="2"/>
      <c r="J112" s="2"/>
      <c r="K112" s="2"/>
      <c r="L112" s="2"/>
      <c r="M112" s="2"/>
      <c r="N112" s="2"/>
      <c r="O112" s="2"/>
      <c r="P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8"/>
      <c r="B113" s="5"/>
      <c r="C113" s="5"/>
      <c r="D113" s="10"/>
      <c r="E113" s="5"/>
      <c r="F113" s="5"/>
      <c r="G113" s="5"/>
      <c r="H113" s="2"/>
      <c r="I113" s="2"/>
      <c r="J113" s="2"/>
      <c r="K113" s="2"/>
      <c r="L113" s="2"/>
      <c r="M113" s="2"/>
      <c r="N113" s="2"/>
      <c r="O113" s="2"/>
      <c r="P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8"/>
      <c r="B114" s="5"/>
      <c r="C114" s="5"/>
      <c r="D114" s="10"/>
      <c r="E114" s="5"/>
      <c r="F114" s="5"/>
      <c r="G114" s="5"/>
      <c r="H114" s="2"/>
      <c r="I114" s="2"/>
      <c r="J114" s="2"/>
      <c r="K114" s="2"/>
      <c r="L114" s="2"/>
      <c r="M114" s="2"/>
      <c r="N114" s="2"/>
      <c r="O114" s="2"/>
      <c r="P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8"/>
      <c r="B115" s="5"/>
      <c r="C115" s="5"/>
      <c r="D115" s="10"/>
      <c r="E115" s="5"/>
      <c r="F115" s="5"/>
      <c r="G115" s="5"/>
      <c r="H115" s="2"/>
      <c r="I115" s="2"/>
      <c r="J115" s="2"/>
      <c r="K115" s="2"/>
      <c r="L115" s="2"/>
      <c r="M115" s="2"/>
      <c r="N115" s="2"/>
      <c r="O115" s="2"/>
      <c r="P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8"/>
      <c r="B116" s="5"/>
      <c r="C116" s="5"/>
      <c r="D116" s="10"/>
      <c r="E116" s="5"/>
      <c r="F116" s="5"/>
      <c r="G116" s="5"/>
      <c r="H116" s="2"/>
      <c r="I116" s="2"/>
      <c r="J116" s="2"/>
      <c r="K116" s="2"/>
      <c r="L116" s="2"/>
      <c r="M116" s="2"/>
      <c r="N116" s="2"/>
      <c r="O116" s="2"/>
      <c r="P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8"/>
      <c r="B117" s="5"/>
      <c r="C117" s="5"/>
      <c r="D117" s="10"/>
      <c r="E117" s="5"/>
      <c r="F117" s="5"/>
      <c r="G117" s="5"/>
      <c r="H117" s="2"/>
      <c r="I117" s="2"/>
      <c r="J117" s="2"/>
      <c r="K117" s="2"/>
      <c r="L117" s="2"/>
      <c r="M117" s="2"/>
      <c r="N117" s="2"/>
      <c r="O117" s="2"/>
      <c r="P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8"/>
      <c r="B118" s="5"/>
      <c r="C118" s="5"/>
      <c r="D118" s="10"/>
      <c r="E118" s="5"/>
      <c r="F118" s="5"/>
      <c r="G118" s="5"/>
      <c r="H118" s="2"/>
      <c r="I118" s="2"/>
      <c r="J118" s="2"/>
      <c r="K118" s="2"/>
      <c r="L118" s="2"/>
      <c r="M118" s="2"/>
      <c r="N118" s="2"/>
      <c r="O118" s="2"/>
      <c r="P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8"/>
      <c r="B119" s="5"/>
      <c r="C119" s="5"/>
      <c r="D119" s="10"/>
      <c r="E119" s="5"/>
      <c r="F119" s="5"/>
      <c r="G119" s="5"/>
      <c r="H119" s="2"/>
      <c r="I119" s="2"/>
      <c r="J119" s="2"/>
      <c r="K119" s="2"/>
      <c r="L119" s="2"/>
      <c r="M119" s="2"/>
      <c r="N119" s="2"/>
      <c r="O119" s="2"/>
      <c r="P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8"/>
      <c r="B120" s="5"/>
      <c r="C120" s="5"/>
      <c r="D120" s="10"/>
      <c r="E120" s="5"/>
      <c r="F120" s="5"/>
      <c r="G120" s="5"/>
      <c r="H120" s="2"/>
      <c r="I120" s="2"/>
      <c r="J120" s="2"/>
      <c r="K120" s="2"/>
      <c r="L120" s="2"/>
      <c r="M120" s="2"/>
      <c r="N120" s="2"/>
      <c r="O120" s="2"/>
      <c r="P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8"/>
      <c r="B121" s="5"/>
      <c r="C121" s="5"/>
      <c r="D121" s="10"/>
      <c r="E121" s="5"/>
      <c r="F121" s="5"/>
      <c r="G121" s="5"/>
      <c r="H121" s="2"/>
      <c r="I121" s="2"/>
      <c r="J121" s="2"/>
      <c r="K121" s="2"/>
      <c r="L121" s="2"/>
      <c r="M121" s="2"/>
      <c r="N121" s="2"/>
      <c r="O121" s="2"/>
      <c r="P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8"/>
      <c r="B122" s="5"/>
      <c r="C122" s="5"/>
      <c r="D122" s="10"/>
      <c r="E122" s="5"/>
      <c r="F122" s="5"/>
      <c r="G122" s="5"/>
      <c r="H122" s="2"/>
      <c r="I122" s="2"/>
      <c r="J122" s="2"/>
      <c r="K122" s="2"/>
      <c r="L122" s="2"/>
      <c r="M122" s="2"/>
      <c r="N122" s="2"/>
      <c r="O122" s="2"/>
      <c r="P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8"/>
      <c r="B123" s="5"/>
      <c r="C123" s="5"/>
      <c r="D123" s="10"/>
      <c r="E123" s="5"/>
      <c r="F123" s="5"/>
      <c r="G123" s="5"/>
      <c r="H123" s="2"/>
      <c r="I123" s="2"/>
      <c r="J123" s="2"/>
      <c r="K123" s="2"/>
      <c r="L123" s="2"/>
      <c r="M123" s="2"/>
      <c r="N123" s="2"/>
      <c r="O123" s="2"/>
      <c r="P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8"/>
      <c r="B124" s="5"/>
      <c r="C124" s="5"/>
      <c r="D124" s="10"/>
      <c r="E124" s="5"/>
      <c r="F124" s="5"/>
      <c r="G124" s="5"/>
      <c r="H124" s="2"/>
      <c r="I124" s="2"/>
      <c r="J124" s="2"/>
      <c r="K124" s="2"/>
      <c r="L124" s="2"/>
      <c r="M124" s="2"/>
      <c r="N124" s="2"/>
      <c r="O124" s="2"/>
      <c r="P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8"/>
      <c r="B125" s="5"/>
      <c r="C125" s="5"/>
      <c r="D125" s="10"/>
      <c r="E125" s="5"/>
      <c r="F125" s="5"/>
      <c r="G125" s="5"/>
      <c r="H125" s="2"/>
      <c r="I125" s="2"/>
      <c r="J125" s="2"/>
      <c r="K125" s="2"/>
      <c r="L125" s="2"/>
      <c r="M125" s="2"/>
      <c r="N125" s="2"/>
      <c r="O125" s="2"/>
      <c r="P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8"/>
      <c r="B126" s="5"/>
      <c r="C126" s="5"/>
      <c r="D126" s="10"/>
      <c r="E126" s="5"/>
      <c r="F126" s="5"/>
      <c r="G126" s="5"/>
      <c r="H126" s="2"/>
      <c r="I126" s="2"/>
      <c r="J126" s="2"/>
      <c r="K126" s="2"/>
      <c r="L126" s="2"/>
      <c r="M126" s="2"/>
      <c r="N126" s="2"/>
      <c r="O126" s="2"/>
      <c r="P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8"/>
      <c r="B127" s="5"/>
      <c r="C127" s="5"/>
      <c r="D127" s="10"/>
      <c r="E127" s="5"/>
      <c r="F127" s="5"/>
      <c r="G127" s="5"/>
      <c r="H127" s="2"/>
      <c r="I127" s="2"/>
      <c r="J127" s="2"/>
      <c r="K127" s="2"/>
      <c r="L127" s="2"/>
      <c r="M127" s="2"/>
      <c r="N127" s="2"/>
      <c r="O127" s="2"/>
      <c r="P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8"/>
      <c r="B128" s="5"/>
      <c r="C128" s="5"/>
      <c r="D128" s="10"/>
      <c r="E128" s="5"/>
      <c r="F128" s="5"/>
      <c r="G128" s="5"/>
      <c r="H128" s="2"/>
      <c r="I128" s="2"/>
      <c r="J128" s="2"/>
      <c r="K128" s="2"/>
      <c r="L128" s="2"/>
      <c r="M128" s="2"/>
      <c r="N128" s="2"/>
      <c r="O128" s="2"/>
      <c r="P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8"/>
      <c r="B129" s="5"/>
      <c r="C129" s="5"/>
      <c r="D129" s="10"/>
      <c r="E129" s="5"/>
      <c r="F129" s="5"/>
      <c r="G129" s="5"/>
      <c r="H129" s="2"/>
      <c r="I129" s="2"/>
      <c r="J129" s="2"/>
      <c r="K129" s="2"/>
      <c r="L129" s="2"/>
      <c r="M129" s="2"/>
      <c r="N129" s="2"/>
      <c r="O129" s="2"/>
      <c r="P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8"/>
      <c r="B130" s="5"/>
      <c r="C130" s="5"/>
      <c r="D130" s="10"/>
      <c r="E130" s="5"/>
      <c r="F130" s="5"/>
      <c r="G130" s="5"/>
      <c r="H130" s="2"/>
      <c r="I130" s="2"/>
      <c r="J130" s="2"/>
      <c r="K130" s="2"/>
      <c r="L130" s="2"/>
      <c r="M130" s="2"/>
      <c r="N130" s="2"/>
      <c r="O130" s="2"/>
      <c r="P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8"/>
      <c r="B131" s="5"/>
      <c r="C131" s="5"/>
      <c r="D131" s="10"/>
      <c r="E131" s="5"/>
      <c r="F131" s="5"/>
      <c r="G131" s="5"/>
      <c r="H131" s="2"/>
      <c r="I131" s="2"/>
      <c r="J131" s="2"/>
      <c r="K131" s="2"/>
      <c r="L131" s="2"/>
      <c r="M131" s="2"/>
      <c r="N131" s="2"/>
      <c r="O131" s="2"/>
      <c r="P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8"/>
      <c r="B132" s="5"/>
      <c r="C132" s="5"/>
      <c r="D132" s="10"/>
      <c r="E132" s="5"/>
      <c r="F132" s="5"/>
      <c r="G132" s="5"/>
      <c r="H132" s="2"/>
      <c r="I132" s="2"/>
      <c r="J132" s="2"/>
      <c r="K132" s="2"/>
      <c r="L132" s="2"/>
      <c r="M132" s="2"/>
      <c r="N132" s="2"/>
      <c r="O132" s="2"/>
      <c r="P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8"/>
      <c r="B133" s="5"/>
      <c r="C133" s="5"/>
      <c r="D133" s="10"/>
      <c r="E133" s="5"/>
      <c r="F133" s="5"/>
      <c r="G133" s="5"/>
      <c r="H133" s="2"/>
      <c r="I133" s="2"/>
      <c r="J133" s="2"/>
      <c r="K133" s="2"/>
      <c r="L133" s="2"/>
      <c r="M133" s="2"/>
      <c r="N133" s="2"/>
      <c r="O133" s="2"/>
      <c r="P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8"/>
      <c r="B134" s="5"/>
      <c r="C134" s="5"/>
      <c r="D134" s="10"/>
      <c r="E134" s="5"/>
      <c r="F134" s="5"/>
      <c r="G134" s="5"/>
      <c r="H134" s="2"/>
      <c r="I134" s="2"/>
      <c r="J134" s="2"/>
      <c r="K134" s="2"/>
      <c r="L134" s="2"/>
      <c r="M134" s="2"/>
      <c r="N134" s="2"/>
      <c r="O134" s="2"/>
      <c r="P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8"/>
      <c r="B135" s="5"/>
      <c r="C135" s="5"/>
      <c r="D135" s="10"/>
      <c r="E135" s="5"/>
      <c r="F135" s="5"/>
      <c r="G135" s="5"/>
      <c r="H135" s="2"/>
      <c r="I135" s="2"/>
      <c r="J135" s="2"/>
      <c r="K135" s="2"/>
      <c r="L135" s="2"/>
      <c r="M135" s="2"/>
      <c r="N135" s="2"/>
      <c r="O135" s="2"/>
      <c r="P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8"/>
      <c r="B136" s="5"/>
      <c r="C136" s="5"/>
      <c r="D136" s="10"/>
      <c r="E136" s="5"/>
      <c r="F136" s="5"/>
      <c r="G136" s="5"/>
      <c r="H136" s="2"/>
      <c r="I136" s="2"/>
      <c r="J136" s="2"/>
      <c r="K136" s="2"/>
      <c r="L136" s="2"/>
      <c r="M136" s="2"/>
      <c r="N136" s="2"/>
      <c r="O136" s="2"/>
      <c r="P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8"/>
      <c r="B137" s="5"/>
      <c r="C137" s="5"/>
      <c r="D137" s="10"/>
      <c r="E137" s="5"/>
      <c r="F137" s="5"/>
      <c r="G137" s="5"/>
      <c r="H137" s="2"/>
      <c r="I137" s="2"/>
      <c r="J137" s="2"/>
      <c r="K137" s="2"/>
      <c r="L137" s="2"/>
      <c r="M137" s="2"/>
      <c r="N137" s="2"/>
      <c r="O137" s="2"/>
      <c r="P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8"/>
      <c r="B138" s="5"/>
      <c r="C138" s="5"/>
      <c r="D138" s="10"/>
      <c r="E138" s="5"/>
      <c r="F138" s="5"/>
      <c r="G138" s="5"/>
      <c r="H138" s="2"/>
      <c r="I138" s="2"/>
      <c r="J138" s="2"/>
      <c r="K138" s="2"/>
      <c r="L138" s="2"/>
      <c r="M138" s="2"/>
      <c r="N138" s="2"/>
      <c r="O138" s="2"/>
      <c r="P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8"/>
      <c r="B139" s="5"/>
      <c r="C139" s="5"/>
      <c r="D139" s="10"/>
      <c r="E139" s="5"/>
      <c r="F139" s="5"/>
      <c r="G139" s="5"/>
      <c r="H139" s="2"/>
      <c r="I139" s="2"/>
      <c r="J139" s="2"/>
      <c r="K139" s="2"/>
      <c r="L139" s="2"/>
      <c r="M139" s="2"/>
      <c r="N139" s="2"/>
      <c r="O139" s="2"/>
      <c r="P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8"/>
      <c r="B140" s="5"/>
      <c r="C140" s="5"/>
      <c r="D140" s="10"/>
      <c r="E140" s="5"/>
      <c r="F140" s="5"/>
      <c r="G140" s="5"/>
      <c r="H140" s="2"/>
      <c r="I140" s="2"/>
      <c r="J140" s="2"/>
      <c r="K140" s="2"/>
      <c r="L140" s="2"/>
      <c r="M140" s="2"/>
      <c r="N140" s="2"/>
      <c r="O140" s="2"/>
      <c r="P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8"/>
      <c r="B141" s="5"/>
      <c r="C141" s="5"/>
      <c r="D141" s="10"/>
      <c r="E141" s="5"/>
      <c r="F141" s="5"/>
      <c r="G141" s="5"/>
      <c r="H141" s="2"/>
      <c r="I141" s="2"/>
      <c r="J141" s="2"/>
      <c r="K141" s="2"/>
      <c r="L141" s="2"/>
      <c r="M141" s="2"/>
      <c r="N141" s="2"/>
      <c r="O141" s="2"/>
      <c r="P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8"/>
      <c r="B142" s="5"/>
      <c r="C142" s="5"/>
      <c r="D142" s="10"/>
      <c r="E142" s="5"/>
      <c r="F142" s="5"/>
      <c r="G142" s="5"/>
      <c r="H142" s="2"/>
      <c r="I142" s="2"/>
      <c r="J142" s="2"/>
      <c r="K142" s="2"/>
      <c r="L142" s="2"/>
      <c r="M142" s="2"/>
      <c r="N142" s="2"/>
      <c r="O142" s="2"/>
      <c r="P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8"/>
      <c r="B143" s="5"/>
      <c r="C143" s="5"/>
      <c r="D143" s="10"/>
      <c r="E143" s="5"/>
      <c r="F143" s="5"/>
      <c r="G143" s="5"/>
      <c r="H143" s="2"/>
      <c r="I143" s="2"/>
      <c r="J143" s="2"/>
      <c r="K143" s="2"/>
      <c r="L143" s="2"/>
      <c r="M143" s="2"/>
      <c r="N143" s="2"/>
      <c r="O143" s="2"/>
      <c r="P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8"/>
      <c r="B144" s="5"/>
      <c r="C144" s="5"/>
      <c r="D144" s="10"/>
      <c r="E144" s="5"/>
      <c r="F144" s="5"/>
      <c r="G144" s="5"/>
      <c r="H144" s="2"/>
      <c r="I144" s="2"/>
      <c r="J144" s="2"/>
      <c r="K144" s="2"/>
      <c r="L144" s="2"/>
      <c r="M144" s="2"/>
      <c r="N144" s="2"/>
      <c r="O144" s="2"/>
      <c r="P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8"/>
      <c r="B145" s="5"/>
      <c r="C145" s="5"/>
      <c r="D145" s="10"/>
      <c r="E145" s="5"/>
      <c r="F145" s="5"/>
      <c r="G145" s="5"/>
      <c r="H145" s="2"/>
      <c r="I145" s="2"/>
      <c r="J145" s="2"/>
      <c r="K145" s="2"/>
      <c r="L145" s="2"/>
      <c r="M145" s="2"/>
      <c r="N145" s="2"/>
      <c r="O145" s="2"/>
      <c r="P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8"/>
      <c r="B146" s="5"/>
      <c r="C146" s="5"/>
      <c r="D146" s="10"/>
      <c r="E146" s="5"/>
      <c r="F146" s="5"/>
      <c r="G146" s="5"/>
      <c r="H146" s="2"/>
      <c r="I146" s="2"/>
      <c r="J146" s="2"/>
      <c r="K146" s="2"/>
      <c r="L146" s="2"/>
      <c r="M146" s="2"/>
      <c r="N146" s="2"/>
      <c r="O146" s="2"/>
      <c r="P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8"/>
      <c r="B147" s="5"/>
      <c r="C147" s="5"/>
      <c r="D147" s="10"/>
      <c r="E147" s="5"/>
      <c r="F147" s="5"/>
      <c r="G147" s="5"/>
      <c r="H147" s="2"/>
      <c r="I147" s="2"/>
      <c r="J147" s="2"/>
      <c r="K147" s="2"/>
      <c r="L147" s="2"/>
      <c r="M147" s="2"/>
      <c r="N147" s="2"/>
      <c r="O147" s="2"/>
      <c r="P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8"/>
      <c r="B148" s="5"/>
      <c r="C148" s="5"/>
      <c r="D148" s="10"/>
      <c r="E148" s="5"/>
      <c r="F148" s="5"/>
      <c r="G148" s="5"/>
      <c r="H148" s="2"/>
      <c r="I148" s="2"/>
      <c r="J148" s="2"/>
      <c r="K148" s="2"/>
      <c r="L148" s="2"/>
      <c r="M148" s="2"/>
      <c r="N148" s="2"/>
      <c r="O148" s="2"/>
      <c r="P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8"/>
      <c r="B149" s="5"/>
      <c r="C149" s="5"/>
      <c r="D149" s="10"/>
      <c r="E149" s="5"/>
      <c r="F149" s="5"/>
      <c r="G149" s="5"/>
      <c r="H149" s="2"/>
      <c r="I149" s="2"/>
      <c r="J149" s="2"/>
      <c r="K149" s="2"/>
      <c r="L149" s="2"/>
      <c r="M149" s="2"/>
      <c r="N149" s="2"/>
      <c r="O149" s="2"/>
      <c r="P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8"/>
      <c r="B150" s="5"/>
      <c r="C150" s="5"/>
      <c r="D150" s="10"/>
      <c r="E150" s="5"/>
      <c r="F150" s="5"/>
      <c r="G150" s="5"/>
      <c r="H150" s="2"/>
      <c r="I150" s="2"/>
      <c r="J150" s="2"/>
      <c r="K150" s="2"/>
      <c r="L150" s="2"/>
      <c r="M150" s="2"/>
      <c r="N150" s="2"/>
      <c r="O150" s="2"/>
      <c r="P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8"/>
      <c r="B151" s="5"/>
      <c r="C151" s="5"/>
      <c r="D151" s="10"/>
      <c r="E151" s="5"/>
      <c r="F151" s="5"/>
      <c r="G151" s="5"/>
      <c r="H151" s="2"/>
      <c r="I151" s="2"/>
      <c r="J151" s="2"/>
      <c r="K151" s="2"/>
      <c r="L151" s="2"/>
      <c r="M151" s="2"/>
      <c r="N151" s="2"/>
      <c r="O151" s="2"/>
      <c r="P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8"/>
      <c r="B152" s="5"/>
      <c r="C152" s="5"/>
      <c r="D152" s="10"/>
      <c r="E152" s="5"/>
      <c r="F152" s="5"/>
      <c r="G152" s="5"/>
      <c r="H152" s="2"/>
      <c r="I152" s="2"/>
      <c r="J152" s="2"/>
      <c r="K152" s="2"/>
      <c r="L152" s="2"/>
      <c r="M152" s="2"/>
      <c r="N152" s="2"/>
      <c r="O152" s="2"/>
      <c r="P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8"/>
      <c r="B153" s="5"/>
      <c r="C153" s="5"/>
      <c r="D153" s="10"/>
      <c r="E153" s="5"/>
      <c r="F153" s="5"/>
      <c r="G153" s="5"/>
      <c r="H153" s="2"/>
      <c r="I153" s="2"/>
      <c r="J153" s="2"/>
      <c r="K153" s="2"/>
      <c r="L153" s="2"/>
      <c r="M153" s="2"/>
      <c r="N153" s="2"/>
      <c r="O153" s="2"/>
      <c r="P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8"/>
      <c r="B154" s="5"/>
      <c r="C154" s="5"/>
      <c r="D154" s="10"/>
      <c r="E154" s="5"/>
      <c r="F154" s="5"/>
      <c r="G154" s="5"/>
      <c r="H154" s="2"/>
      <c r="I154" s="2"/>
      <c r="J154" s="2"/>
      <c r="K154" s="2"/>
      <c r="L154" s="2"/>
      <c r="M154" s="2"/>
      <c r="N154" s="2"/>
      <c r="O154" s="2"/>
      <c r="P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8"/>
      <c r="B155" s="5"/>
      <c r="C155" s="5"/>
      <c r="D155" s="10"/>
      <c r="E155" s="5"/>
      <c r="F155" s="5"/>
      <c r="G155" s="5"/>
      <c r="H155" s="2"/>
      <c r="I155" s="2"/>
      <c r="J155" s="2"/>
      <c r="K155" s="2"/>
      <c r="L155" s="2"/>
      <c r="M155" s="2"/>
      <c r="N155" s="2"/>
      <c r="O155" s="2"/>
      <c r="P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8"/>
      <c r="B156" s="5"/>
      <c r="C156" s="5"/>
      <c r="D156" s="10"/>
      <c r="E156" s="5"/>
      <c r="F156" s="5"/>
      <c r="G156" s="5"/>
      <c r="H156" s="2"/>
      <c r="I156" s="2"/>
      <c r="J156" s="2"/>
      <c r="K156" s="2"/>
      <c r="L156" s="2"/>
      <c r="M156" s="2"/>
      <c r="N156" s="2"/>
      <c r="O156" s="2"/>
      <c r="P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8"/>
      <c r="B157" s="5"/>
      <c r="C157" s="5"/>
      <c r="D157" s="10"/>
      <c r="E157" s="5"/>
      <c r="F157" s="5"/>
      <c r="G157" s="5"/>
      <c r="H157" s="2"/>
      <c r="I157" s="2"/>
      <c r="J157" s="2"/>
      <c r="K157" s="2"/>
      <c r="L157" s="2"/>
      <c r="M157" s="2"/>
      <c r="N157" s="2"/>
      <c r="O157" s="2"/>
      <c r="P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8"/>
      <c r="B158" s="5"/>
      <c r="C158" s="5"/>
      <c r="D158" s="10"/>
      <c r="E158" s="5"/>
      <c r="F158" s="5"/>
      <c r="G158" s="5"/>
      <c r="H158" s="2"/>
      <c r="I158" s="2"/>
      <c r="J158" s="2"/>
      <c r="K158" s="2"/>
      <c r="L158" s="2"/>
      <c r="M158" s="2"/>
      <c r="N158" s="2"/>
      <c r="O158" s="2"/>
      <c r="P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8"/>
      <c r="B159" s="5"/>
      <c r="C159" s="5"/>
      <c r="D159" s="10"/>
      <c r="E159" s="5"/>
      <c r="F159" s="5"/>
      <c r="G159" s="5"/>
      <c r="H159" s="2"/>
      <c r="I159" s="2"/>
      <c r="J159" s="2"/>
      <c r="K159" s="2"/>
      <c r="L159" s="2"/>
      <c r="M159" s="2"/>
      <c r="N159" s="2"/>
      <c r="O159" s="2"/>
      <c r="P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8"/>
      <c r="B160" s="5"/>
      <c r="C160" s="5"/>
      <c r="D160" s="10"/>
      <c r="E160" s="5"/>
      <c r="F160" s="5"/>
      <c r="G160" s="5"/>
      <c r="H160" s="2"/>
      <c r="I160" s="2"/>
      <c r="J160" s="2"/>
      <c r="K160" s="2"/>
      <c r="L160" s="2"/>
      <c r="M160" s="2"/>
      <c r="N160" s="2"/>
      <c r="O160" s="2"/>
      <c r="P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8"/>
      <c r="B161" s="5"/>
      <c r="C161" s="5"/>
      <c r="D161" s="10"/>
      <c r="E161" s="5"/>
      <c r="F161" s="5"/>
      <c r="G161" s="5"/>
      <c r="H161" s="2"/>
      <c r="I161" s="2"/>
      <c r="J161" s="2"/>
      <c r="K161" s="2"/>
      <c r="L161" s="2"/>
      <c r="M161" s="2"/>
      <c r="N161" s="2"/>
      <c r="O161" s="2"/>
      <c r="P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8"/>
      <c r="B162" s="5"/>
      <c r="C162" s="5"/>
      <c r="D162" s="10"/>
      <c r="E162" s="5"/>
      <c r="F162" s="5"/>
      <c r="G162" s="5"/>
      <c r="H162" s="2"/>
      <c r="I162" s="2"/>
      <c r="J162" s="2"/>
      <c r="K162" s="2"/>
      <c r="L162" s="2"/>
      <c r="M162" s="2"/>
      <c r="N162" s="2"/>
      <c r="O162" s="2"/>
      <c r="P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8"/>
      <c r="B163" s="5"/>
      <c r="C163" s="5"/>
      <c r="D163" s="10"/>
      <c r="E163" s="5"/>
      <c r="F163" s="5"/>
      <c r="G163" s="5"/>
      <c r="H163" s="2"/>
      <c r="I163" s="2"/>
      <c r="J163" s="2"/>
      <c r="K163" s="2"/>
      <c r="L163" s="2"/>
      <c r="M163" s="2"/>
      <c r="N163" s="2"/>
      <c r="O163" s="2"/>
      <c r="P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8"/>
      <c r="B164" s="5"/>
      <c r="C164" s="5"/>
      <c r="D164" s="10"/>
      <c r="E164" s="5"/>
      <c r="F164" s="5"/>
      <c r="G164" s="5"/>
      <c r="H164" s="2"/>
      <c r="I164" s="2"/>
      <c r="J164" s="2"/>
      <c r="K164" s="2"/>
      <c r="L164" s="2"/>
      <c r="M164" s="2"/>
      <c r="N164" s="2"/>
      <c r="O164" s="2"/>
      <c r="P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8"/>
      <c r="B165" s="5"/>
      <c r="C165" s="5"/>
      <c r="D165" s="10"/>
      <c r="E165" s="5"/>
      <c r="F165" s="5"/>
      <c r="G165" s="5"/>
      <c r="H165" s="2"/>
      <c r="I165" s="2"/>
      <c r="J165" s="2"/>
      <c r="K165" s="2"/>
      <c r="L165" s="2"/>
      <c r="M165" s="2"/>
      <c r="N165" s="2"/>
      <c r="O165" s="2"/>
      <c r="P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8"/>
      <c r="B166" s="5"/>
      <c r="C166" s="5"/>
      <c r="D166" s="10"/>
      <c r="E166" s="5"/>
      <c r="F166" s="5"/>
      <c r="G166" s="5"/>
      <c r="H166" s="2"/>
      <c r="I166" s="2"/>
      <c r="J166" s="2"/>
      <c r="K166" s="2"/>
      <c r="L166" s="2"/>
      <c r="M166" s="2"/>
      <c r="N166" s="2"/>
      <c r="O166" s="2"/>
      <c r="P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8"/>
      <c r="B167" s="5"/>
      <c r="C167" s="5"/>
      <c r="D167" s="10"/>
      <c r="E167" s="5"/>
      <c r="F167" s="5"/>
      <c r="G167" s="5"/>
      <c r="H167" s="2"/>
      <c r="I167" s="2"/>
      <c r="J167" s="2"/>
      <c r="K167" s="2"/>
      <c r="L167" s="2"/>
      <c r="M167" s="2"/>
      <c r="N167" s="2"/>
      <c r="O167" s="2"/>
      <c r="P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8"/>
      <c r="B168" s="5"/>
      <c r="C168" s="5"/>
      <c r="D168" s="10"/>
      <c r="E168" s="5"/>
      <c r="F168" s="5"/>
      <c r="G168" s="5"/>
      <c r="H168" s="2"/>
      <c r="I168" s="2"/>
      <c r="J168" s="2"/>
      <c r="K168" s="2"/>
      <c r="L168" s="2"/>
      <c r="M168" s="2"/>
      <c r="N168" s="2"/>
      <c r="O168" s="2"/>
      <c r="P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8"/>
      <c r="B169" s="5"/>
      <c r="C169" s="5"/>
      <c r="D169" s="10"/>
      <c r="E169" s="5"/>
      <c r="F169" s="5"/>
      <c r="G169" s="5"/>
      <c r="H169" s="2"/>
      <c r="I169" s="2"/>
      <c r="J169" s="2"/>
      <c r="K169" s="2"/>
      <c r="L169" s="2"/>
      <c r="M169" s="2"/>
      <c r="N169" s="2"/>
      <c r="O169" s="2"/>
      <c r="P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8"/>
      <c r="B170" s="5"/>
      <c r="C170" s="5"/>
      <c r="D170" s="10"/>
      <c r="E170" s="5"/>
      <c r="F170" s="5"/>
      <c r="G170" s="5"/>
      <c r="H170" s="2"/>
      <c r="I170" s="2"/>
      <c r="J170" s="2"/>
      <c r="K170" s="2"/>
      <c r="L170" s="2"/>
      <c r="M170" s="2"/>
      <c r="N170" s="2"/>
      <c r="O170" s="2"/>
      <c r="P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8"/>
      <c r="B171" s="5"/>
      <c r="C171" s="5"/>
      <c r="D171" s="10"/>
      <c r="E171" s="5"/>
      <c r="F171" s="5"/>
      <c r="G171" s="5"/>
      <c r="H171" s="2"/>
      <c r="I171" s="2"/>
      <c r="J171" s="2"/>
      <c r="K171" s="2"/>
      <c r="L171" s="2"/>
      <c r="M171" s="2"/>
      <c r="N171" s="2"/>
      <c r="O171" s="2"/>
      <c r="P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8"/>
      <c r="B172" s="5"/>
      <c r="C172" s="5"/>
      <c r="D172" s="10"/>
      <c r="E172" s="5"/>
      <c r="F172" s="5"/>
      <c r="G172" s="5"/>
      <c r="H172" s="2"/>
      <c r="I172" s="2"/>
      <c r="J172" s="2"/>
      <c r="K172" s="2"/>
      <c r="L172" s="2"/>
      <c r="M172" s="2"/>
      <c r="N172" s="2"/>
      <c r="O172" s="2"/>
      <c r="P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8"/>
      <c r="B173" s="5"/>
      <c r="C173" s="5"/>
      <c r="D173" s="10"/>
      <c r="E173" s="5"/>
      <c r="F173" s="5"/>
      <c r="G173" s="5"/>
      <c r="H173" s="2"/>
      <c r="I173" s="2"/>
      <c r="J173" s="2"/>
      <c r="K173" s="2"/>
      <c r="L173" s="2"/>
      <c r="M173" s="2"/>
      <c r="N173" s="2"/>
      <c r="O173" s="2"/>
      <c r="P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8"/>
      <c r="B174" s="5"/>
      <c r="C174" s="5"/>
      <c r="D174" s="10"/>
      <c r="E174" s="5"/>
      <c r="F174" s="5"/>
      <c r="G174" s="5"/>
      <c r="H174" s="2"/>
      <c r="I174" s="2"/>
      <c r="J174" s="2"/>
      <c r="K174" s="2"/>
      <c r="L174" s="2"/>
      <c r="M174" s="2"/>
      <c r="N174" s="2"/>
      <c r="O174" s="2"/>
      <c r="P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8"/>
      <c r="B175" s="5"/>
      <c r="C175" s="5"/>
      <c r="D175" s="10"/>
      <c r="E175" s="5"/>
      <c r="F175" s="5"/>
      <c r="G175" s="5"/>
      <c r="H175" s="2"/>
      <c r="I175" s="2"/>
      <c r="J175" s="2"/>
      <c r="K175" s="2"/>
      <c r="L175" s="2"/>
      <c r="M175" s="2"/>
      <c r="N175" s="2"/>
      <c r="O175" s="2"/>
      <c r="P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8"/>
      <c r="B176" s="5"/>
      <c r="C176" s="5"/>
      <c r="D176" s="10"/>
      <c r="E176" s="5"/>
      <c r="F176" s="5"/>
      <c r="G176" s="5"/>
      <c r="H176" s="2"/>
      <c r="I176" s="2"/>
      <c r="J176" s="2"/>
      <c r="K176" s="2"/>
      <c r="L176" s="2"/>
      <c r="M176" s="2"/>
      <c r="N176" s="2"/>
      <c r="O176" s="2"/>
      <c r="P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8"/>
      <c r="B177" s="5"/>
      <c r="C177" s="5"/>
      <c r="D177" s="10"/>
      <c r="E177" s="5"/>
      <c r="F177" s="5"/>
      <c r="G177" s="5"/>
      <c r="H177" s="2"/>
      <c r="I177" s="2"/>
      <c r="J177" s="2"/>
      <c r="K177" s="2"/>
      <c r="L177" s="2"/>
      <c r="M177" s="2"/>
      <c r="N177" s="2"/>
      <c r="O177" s="2"/>
      <c r="P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8"/>
      <c r="B178" s="5"/>
      <c r="C178" s="5"/>
      <c r="D178" s="10"/>
      <c r="E178" s="5"/>
      <c r="F178" s="5"/>
      <c r="G178" s="5"/>
      <c r="H178" s="2"/>
      <c r="I178" s="2"/>
      <c r="J178" s="2"/>
      <c r="K178" s="2"/>
      <c r="L178" s="2"/>
      <c r="M178" s="2"/>
      <c r="N178" s="2"/>
      <c r="O178" s="2"/>
      <c r="P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8"/>
      <c r="B179" s="5"/>
      <c r="C179" s="5"/>
      <c r="D179" s="10"/>
      <c r="E179" s="5"/>
      <c r="F179" s="5"/>
      <c r="G179" s="5"/>
      <c r="H179" s="2"/>
      <c r="I179" s="2"/>
      <c r="J179" s="2"/>
      <c r="K179" s="2"/>
      <c r="L179" s="2"/>
      <c r="M179" s="2"/>
      <c r="N179" s="2"/>
      <c r="O179" s="2"/>
      <c r="P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8"/>
      <c r="B180" s="5"/>
      <c r="C180" s="5"/>
      <c r="D180" s="10"/>
      <c r="E180" s="5"/>
      <c r="F180" s="5"/>
      <c r="G180" s="5"/>
      <c r="H180" s="2"/>
      <c r="I180" s="2"/>
      <c r="J180" s="2"/>
      <c r="K180" s="2"/>
      <c r="L180" s="2"/>
      <c r="M180" s="2"/>
      <c r="N180" s="2"/>
      <c r="O180" s="2"/>
      <c r="P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8"/>
      <c r="B181" s="5"/>
      <c r="C181" s="5"/>
      <c r="D181" s="10"/>
      <c r="E181" s="5"/>
      <c r="F181" s="5"/>
      <c r="G181" s="5"/>
      <c r="H181" s="2"/>
      <c r="I181" s="2"/>
      <c r="J181" s="2"/>
      <c r="K181" s="2"/>
      <c r="L181" s="2"/>
      <c r="M181" s="2"/>
      <c r="N181" s="2"/>
      <c r="O181" s="2"/>
      <c r="P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8"/>
      <c r="B182" s="5"/>
      <c r="C182" s="5"/>
      <c r="D182" s="10"/>
      <c r="E182" s="5"/>
      <c r="F182" s="5"/>
      <c r="G182" s="5"/>
      <c r="H182" s="2"/>
      <c r="I182" s="2"/>
      <c r="J182" s="2"/>
      <c r="K182" s="2"/>
      <c r="L182" s="2"/>
      <c r="M182" s="2"/>
      <c r="N182" s="2"/>
      <c r="O182" s="2"/>
      <c r="P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8"/>
      <c r="B183" s="5"/>
      <c r="C183" s="5"/>
      <c r="D183" s="10"/>
      <c r="E183" s="5"/>
      <c r="F183" s="5"/>
      <c r="G183" s="5"/>
      <c r="H183" s="2"/>
      <c r="I183" s="2"/>
      <c r="J183" s="2"/>
      <c r="K183" s="2"/>
      <c r="L183" s="2"/>
      <c r="M183" s="2"/>
      <c r="N183" s="2"/>
      <c r="O183" s="2"/>
      <c r="P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8"/>
      <c r="B184" s="5"/>
      <c r="C184" s="5"/>
      <c r="D184" s="10"/>
      <c r="E184" s="5"/>
      <c r="F184" s="5"/>
      <c r="G184" s="5"/>
      <c r="H184" s="2"/>
      <c r="I184" s="2"/>
      <c r="J184" s="2"/>
      <c r="K184" s="2"/>
      <c r="L184" s="2"/>
      <c r="M184" s="2"/>
      <c r="N184" s="2"/>
      <c r="O184" s="2"/>
      <c r="P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8"/>
      <c r="B185" s="5"/>
      <c r="C185" s="5"/>
      <c r="D185" s="10"/>
      <c r="E185" s="5"/>
      <c r="F185" s="5"/>
      <c r="G185" s="5"/>
      <c r="H185" s="2"/>
      <c r="I185" s="2"/>
      <c r="J185" s="2"/>
      <c r="K185" s="2"/>
      <c r="L185" s="2"/>
      <c r="M185" s="2"/>
      <c r="N185" s="2"/>
      <c r="O185" s="2"/>
      <c r="P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8"/>
      <c r="B186" s="5"/>
      <c r="C186" s="5"/>
      <c r="D186" s="10"/>
      <c r="E186" s="5"/>
      <c r="F186" s="5"/>
      <c r="G186" s="5"/>
      <c r="H186" s="2"/>
      <c r="I186" s="2"/>
      <c r="J186" s="2"/>
      <c r="K186" s="2"/>
      <c r="L186" s="2"/>
      <c r="M186" s="2"/>
      <c r="N186" s="2"/>
      <c r="O186" s="2"/>
      <c r="P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8"/>
      <c r="B187" s="5"/>
      <c r="C187" s="5"/>
      <c r="D187" s="10"/>
      <c r="E187" s="5"/>
      <c r="F187" s="5"/>
      <c r="G187" s="5"/>
      <c r="H187" s="2"/>
      <c r="I187" s="2"/>
      <c r="J187" s="2"/>
      <c r="K187" s="2"/>
      <c r="L187" s="2"/>
      <c r="M187" s="2"/>
      <c r="N187" s="2"/>
      <c r="O187" s="2"/>
      <c r="P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8"/>
      <c r="B188" s="5"/>
      <c r="C188" s="5"/>
      <c r="D188" s="10"/>
      <c r="E188" s="5"/>
      <c r="F188" s="5"/>
      <c r="G188" s="5"/>
      <c r="H188" s="2"/>
      <c r="I188" s="2"/>
      <c r="J188" s="2"/>
      <c r="K188" s="2"/>
      <c r="L188" s="2"/>
      <c r="M188" s="2"/>
      <c r="N188" s="2"/>
      <c r="O188" s="2"/>
      <c r="P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8"/>
      <c r="B189" s="5"/>
      <c r="C189" s="5"/>
      <c r="D189" s="10"/>
      <c r="E189" s="5"/>
      <c r="F189" s="5"/>
      <c r="G189" s="5"/>
      <c r="H189" s="2"/>
      <c r="I189" s="2"/>
      <c r="J189" s="2"/>
      <c r="K189" s="2"/>
      <c r="L189" s="2"/>
      <c r="M189" s="2"/>
      <c r="N189" s="2"/>
      <c r="O189" s="2"/>
      <c r="P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8"/>
      <c r="B190" s="5"/>
      <c r="C190" s="5"/>
      <c r="D190" s="10"/>
      <c r="E190" s="5"/>
      <c r="F190" s="5"/>
      <c r="G190" s="5"/>
      <c r="H190" s="2"/>
      <c r="I190" s="2"/>
      <c r="J190" s="2"/>
      <c r="K190" s="2"/>
      <c r="L190" s="2"/>
      <c r="M190" s="2"/>
      <c r="N190" s="2"/>
      <c r="O190" s="2"/>
      <c r="P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8"/>
      <c r="B191" s="5"/>
      <c r="C191" s="5"/>
      <c r="D191" s="10"/>
      <c r="E191" s="5"/>
      <c r="F191" s="5"/>
      <c r="G191" s="5"/>
      <c r="H191" s="2"/>
      <c r="I191" s="2"/>
      <c r="J191" s="2"/>
      <c r="K191" s="2"/>
      <c r="L191" s="2"/>
      <c r="M191" s="2"/>
      <c r="N191" s="2"/>
      <c r="O191" s="2"/>
      <c r="P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8"/>
      <c r="B192" s="5"/>
      <c r="C192" s="5"/>
      <c r="D192" s="10"/>
      <c r="E192" s="5"/>
      <c r="F192" s="5"/>
      <c r="G192" s="5"/>
      <c r="H192" s="2"/>
      <c r="I192" s="2"/>
      <c r="J192" s="2"/>
      <c r="K192" s="2"/>
      <c r="L192" s="2"/>
      <c r="M192" s="2"/>
      <c r="N192" s="2"/>
      <c r="O192" s="2"/>
      <c r="P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8"/>
      <c r="B193" s="5"/>
      <c r="C193" s="5"/>
      <c r="D193" s="10"/>
      <c r="E193" s="5"/>
      <c r="F193" s="5"/>
      <c r="G193" s="5"/>
      <c r="H193" s="2"/>
      <c r="I193" s="2"/>
      <c r="J193" s="2"/>
      <c r="K193" s="2"/>
      <c r="L193" s="2"/>
      <c r="M193" s="2"/>
      <c r="N193" s="2"/>
      <c r="O193" s="2"/>
      <c r="P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8"/>
      <c r="B194" s="5"/>
      <c r="C194" s="5"/>
      <c r="D194" s="10"/>
      <c r="E194" s="5"/>
      <c r="F194" s="5"/>
      <c r="G194" s="5"/>
      <c r="H194" s="2"/>
      <c r="I194" s="2"/>
      <c r="J194" s="2"/>
      <c r="K194" s="2"/>
      <c r="L194" s="2"/>
      <c r="M194" s="2"/>
      <c r="N194" s="2"/>
      <c r="O194" s="2"/>
      <c r="P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8"/>
      <c r="B195" s="5"/>
      <c r="C195" s="5"/>
      <c r="D195" s="10"/>
      <c r="E195" s="5"/>
      <c r="F195" s="5"/>
      <c r="G195" s="5"/>
      <c r="H195" s="2"/>
      <c r="I195" s="2"/>
      <c r="J195" s="2"/>
      <c r="K195" s="2"/>
      <c r="L195" s="2"/>
      <c r="M195" s="2"/>
      <c r="N195" s="2"/>
      <c r="O195" s="2"/>
      <c r="P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8"/>
      <c r="B196" s="5"/>
      <c r="C196" s="5"/>
      <c r="D196" s="10"/>
      <c r="E196" s="5"/>
      <c r="F196" s="5"/>
      <c r="G196" s="5"/>
      <c r="H196" s="2"/>
      <c r="I196" s="2"/>
      <c r="J196" s="2"/>
      <c r="K196" s="2"/>
      <c r="L196" s="2"/>
      <c r="M196" s="2"/>
      <c r="N196" s="2"/>
      <c r="O196" s="2"/>
      <c r="P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8"/>
      <c r="B197" s="5"/>
      <c r="C197" s="5"/>
      <c r="D197" s="10"/>
      <c r="E197" s="5"/>
      <c r="F197" s="5"/>
      <c r="G197" s="5"/>
      <c r="H197" s="2"/>
      <c r="I197" s="2"/>
      <c r="J197" s="2"/>
      <c r="K197" s="2"/>
      <c r="L197" s="2"/>
      <c r="M197" s="2"/>
      <c r="N197" s="2"/>
      <c r="O197" s="2"/>
      <c r="P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8"/>
      <c r="B198" s="5"/>
      <c r="C198" s="5"/>
      <c r="D198" s="10"/>
      <c r="E198" s="5"/>
      <c r="F198" s="5"/>
      <c r="G198" s="5"/>
      <c r="H198" s="2"/>
      <c r="I198" s="2"/>
      <c r="J198" s="2"/>
      <c r="K198" s="2"/>
      <c r="L198" s="2"/>
      <c r="M198" s="2"/>
      <c r="N198" s="2"/>
      <c r="O198" s="2"/>
      <c r="P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8"/>
      <c r="B199" s="5"/>
      <c r="C199" s="5"/>
      <c r="D199" s="10"/>
      <c r="E199" s="5"/>
      <c r="F199" s="5"/>
      <c r="G199" s="5"/>
      <c r="H199" s="2"/>
      <c r="I199" s="2"/>
      <c r="J199" s="2"/>
      <c r="K199" s="2"/>
      <c r="L199" s="2"/>
      <c r="M199" s="2"/>
      <c r="N199" s="2"/>
      <c r="O199" s="2"/>
      <c r="P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8"/>
      <c r="B200" s="5"/>
      <c r="C200" s="5"/>
      <c r="D200" s="10"/>
      <c r="E200" s="5"/>
      <c r="F200" s="5"/>
      <c r="G200" s="5"/>
      <c r="H200" s="2"/>
      <c r="I200" s="2"/>
      <c r="J200" s="2"/>
      <c r="K200" s="2"/>
      <c r="L200" s="2"/>
      <c r="M200" s="2"/>
      <c r="N200" s="2"/>
      <c r="O200" s="2"/>
      <c r="P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8"/>
      <c r="B201" s="5"/>
      <c r="C201" s="5"/>
      <c r="D201" s="10"/>
      <c r="E201" s="5"/>
      <c r="F201" s="5"/>
      <c r="G201" s="5"/>
      <c r="H201" s="2"/>
      <c r="I201" s="2"/>
      <c r="J201" s="2"/>
      <c r="K201" s="2"/>
      <c r="L201" s="2"/>
      <c r="M201" s="2"/>
      <c r="N201" s="2"/>
      <c r="O201" s="2"/>
      <c r="P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8"/>
      <c r="B202" s="5"/>
      <c r="C202" s="5"/>
      <c r="D202" s="10"/>
      <c r="E202" s="5"/>
      <c r="F202" s="5"/>
      <c r="G202" s="5"/>
      <c r="H202" s="2"/>
      <c r="I202" s="2"/>
      <c r="J202" s="2"/>
      <c r="K202" s="2"/>
      <c r="L202" s="2"/>
      <c r="M202" s="2"/>
      <c r="N202" s="2"/>
      <c r="O202" s="2"/>
      <c r="P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8"/>
      <c r="B203" s="5"/>
      <c r="C203" s="5"/>
      <c r="D203" s="10"/>
      <c r="E203" s="5"/>
      <c r="F203" s="5"/>
      <c r="G203" s="5"/>
      <c r="H203" s="2"/>
      <c r="I203" s="2"/>
      <c r="J203" s="2"/>
      <c r="K203" s="2"/>
      <c r="L203" s="2"/>
      <c r="M203" s="2"/>
      <c r="N203" s="2"/>
      <c r="O203" s="2"/>
      <c r="P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8"/>
      <c r="B204" s="5"/>
      <c r="C204" s="5"/>
      <c r="D204" s="10"/>
      <c r="E204" s="5"/>
      <c r="F204" s="5"/>
      <c r="G204" s="5"/>
      <c r="H204" s="2"/>
      <c r="I204" s="2"/>
      <c r="J204" s="2"/>
      <c r="K204" s="2"/>
      <c r="L204" s="2"/>
      <c r="M204" s="2"/>
      <c r="N204" s="2"/>
      <c r="O204" s="2"/>
      <c r="P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8"/>
      <c r="B205" s="5"/>
      <c r="C205" s="5"/>
      <c r="D205" s="10"/>
      <c r="E205" s="5"/>
      <c r="F205" s="5"/>
      <c r="G205" s="5"/>
      <c r="H205" s="2"/>
      <c r="I205" s="2"/>
      <c r="J205" s="2"/>
      <c r="K205" s="2"/>
      <c r="L205" s="2"/>
      <c r="M205" s="2"/>
      <c r="N205" s="2"/>
      <c r="O205" s="2"/>
      <c r="P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8"/>
      <c r="B206" s="5"/>
      <c r="C206" s="5"/>
      <c r="D206" s="10"/>
      <c r="E206" s="5"/>
      <c r="F206" s="5"/>
      <c r="G206" s="5"/>
      <c r="H206" s="2"/>
      <c r="I206" s="2"/>
      <c r="J206" s="2"/>
      <c r="K206" s="2"/>
      <c r="L206" s="2"/>
      <c r="M206" s="2"/>
      <c r="N206" s="2"/>
      <c r="O206" s="2"/>
      <c r="P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8"/>
      <c r="B207" s="5"/>
      <c r="C207" s="5"/>
      <c r="D207" s="10"/>
      <c r="E207" s="5"/>
      <c r="F207" s="5"/>
      <c r="G207" s="5"/>
      <c r="H207" s="2"/>
      <c r="I207" s="2"/>
      <c r="J207" s="2"/>
      <c r="K207" s="2"/>
      <c r="L207" s="2"/>
      <c r="M207" s="2"/>
      <c r="N207" s="2"/>
      <c r="O207" s="2"/>
      <c r="P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8"/>
      <c r="B208" s="5"/>
      <c r="C208" s="5"/>
      <c r="D208" s="10"/>
      <c r="E208" s="5"/>
      <c r="F208" s="5"/>
      <c r="G208" s="5"/>
      <c r="H208" s="2"/>
      <c r="I208" s="2"/>
      <c r="J208" s="2"/>
      <c r="K208" s="2"/>
      <c r="L208" s="2"/>
      <c r="M208" s="2"/>
      <c r="N208" s="2"/>
      <c r="O208" s="2"/>
      <c r="P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8"/>
      <c r="B209" s="5"/>
      <c r="C209" s="5"/>
      <c r="D209" s="10"/>
      <c r="E209" s="5"/>
      <c r="F209" s="5"/>
      <c r="G209" s="5"/>
      <c r="H209" s="2"/>
      <c r="I209" s="2"/>
      <c r="J209" s="2"/>
      <c r="K209" s="2"/>
      <c r="L209" s="2"/>
      <c r="M209" s="2"/>
      <c r="N209" s="2"/>
      <c r="O209" s="2"/>
      <c r="P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8"/>
      <c r="B210" s="5"/>
      <c r="C210" s="5"/>
      <c r="D210" s="10"/>
      <c r="E210" s="5"/>
      <c r="F210" s="5"/>
      <c r="G210" s="5"/>
      <c r="H210" s="2"/>
      <c r="I210" s="2"/>
      <c r="J210" s="2"/>
      <c r="K210" s="2"/>
      <c r="L210" s="2"/>
      <c r="M210" s="2"/>
      <c r="N210" s="2"/>
      <c r="O210" s="2"/>
      <c r="P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8"/>
      <c r="B211" s="5"/>
      <c r="C211" s="5"/>
      <c r="D211" s="10"/>
      <c r="E211" s="5"/>
      <c r="F211" s="5"/>
      <c r="G211" s="5"/>
      <c r="H211" s="2"/>
      <c r="I211" s="2"/>
      <c r="J211" s="2"/>
      <c r="K211" s="2"/>
      <c r="L211" s="2"/>
      <c r="M211" s="2"/>
      <c r="N211" s="2"/>
      <c r="O211" s="2"/>
      <c r="P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8"/>
      <c r="B212" s="5"/>
      <c r="C212" s="5"/>
      <c r="D212" s="10"/>
      <c r="E212" s="5"/>
      <c r="F212" s="5"/>
      <c r="G212" s="5"/>
      <c r="H212" s="2"/>
      <c r="I212" s="2"/>
      <c r="J212" s="2"/>
      <c r="K212" s="2"/>
      <c r="L212" s="2"/>
      <c r="M212" s="2"/>
      <c r="N212" s="2"/>
      <c r="O212" s="2"/>
      <c r="P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8"/>
      <c r="B213" s="5"/>
      <c r="C213" s="5"/>
      <c r="D213" s="10"/>
      <c r="E213" s="5"/>
      <c r="F213" s="5"/>
      <c r="G213" s="5"/>
      <c r="H213" s="2"/>
      <c r="I213" s="2"/>
      <c r="J213" s="2"/>
      <c r="K213" s="2"/>
      <c r="L213" s="2"/>
      <c r="M213" s="2"/>
      <c r="N213" s="2"/>
      <c r="O213" s="2"/>
      <c r="P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8"/>
      <c r="B214" s="5"/>
      <c r="C214" s="5"/>
      <c r="D214" s="10"/>
      <c r="E214" s="5"/>
      <c r="F214" s="5"/>
      <c r="G214" s="5"/>
      <c r="H214" s="2"/>
      <c r="I214" s="2"/>
      <c r="J214" s="2"/>
      <c r="K214" s="2"/>
      <c r="L214" s="2"/>
      <c r="M214" s="2"/>
      <c r="N214" s="2"/>
      <c r="O214" s="2"/>
      <c r="P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8"/>
      <c r="B215" s="5"/>
      <c r="C215" s="5"/>
      <c r="D215" s="10"/>
      <c r="E215" s="5"/>
      <c r="F215" s="5"/>
      <c r="G215" s="5"/>
      <c r="H215" s="2"/>
      <c r="I215" s="2"/>
      <c r="J215" s="2"/>
      <c r="K215" s="2"/>
      <c r="L215" s="2"/>
      <c r="M215" s="2"/>
      <c r="N215" s="2"/>
      <c r="O215" s="2"/>
      <c r="P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8"/>
      <c r="B216" s="5"/>
      <c r="C216" s="5"/>
      <c r="D216" s="10"/>
      <c r="E216" s="5"/>
      <c r="F216" s="5"/>
      <c r="G216" s="5"/>
      <c r="H216" s="2"/>
      <c r="I216" s="2"/>
      <c r="J216" s="2"/>
      <c r="K216" s="2"/>
      <c r="L216" s="2"/>
      <c r="M216" s="2"/>
      <c r="N216" s="2"/>
      <c r="O216" s="2"/>
      <c r="P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8"/>
      <c r="B217" s="5"/>
      <c r="C217" s="5"/>
      <c r="D217" s="10"/>
      <c r="E217" s="5"/>
      <c r="F217" s="5"/>
      <c r="G217" s="5"/>
      <c r="H217" s="2"/>
      <c r="I217" s="2"/>
      <c r="J217" s="2"/>
      <c r="K217" s="2"/>
      <c r="L217" s="2"/>
      <c r="M217" s="2"/>
      <c r="N217" s="2"/>
      <c r="O217" s="2"/>
      <c r="P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8"/>
      <c r="B218" s="5"/>
      <c r="C218" s="5"/>
      <c r="D218" s="10"/>
      <c r="E218" s="5"/>
      <c r="F218" s="5"/>
      <c r="G218" s="5"/>
      <c r="H218" s="2"/>
      <c r="I218" s="2"/>
      <c r="J218" s="2"/>
      <c r="K218" s="2"/>
      <c r="L218" s="2"/>
      <c r="M218" s="2"/>
      <c r="N218" s="2"/>
      <c r="O218" s="2"/>
      <c r="P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8"/>
      <c r="B219" s="5"/>
      <c r="C219" s="5"/>
      <c r="D219" s="10"/>
      <c r="E219" s="5"/>
      <c r="F219" s="5"/>
      <c r="G219" s="5"/>
      <c r="H219" s="2"/>
      <c r="I219" s="2"/>
      <c r="J219" s="2"/>
      <c r="K219" s="2"/>
      <c r="L219" s="2"/>
      <c r="M219" s="2"/>
      <c r="N219" s="2"/>
      <c r="O219" s="2"/>
      <c r="P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8"/>
      <c r="B220" s="5"/>
      <c r="C220" s="5"/>
      <c r="D220" s="10"/>
      <c r="E220" s="5"/>
      <c r="F220" s="5"/>
      <c r="G220" s="5"/>
      <c r="H220" s="2"/>
      <c r="I220" s="2"/>
      <c r="J220" s="2"/>
      <c r="K220" s="2"/>
      <c r="L220" s="2"/>
      <c r="M220" s="2"/>
      <c r="N220" s="2"/>
      <c r="O220" s="2"/>
      <c r="P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8"/>
      <c r="B221" s="5"/>
      <c r="C221" s="5"/>
      <c r="D221" s="10"/>
      <c r="E221" s="5"/>
      <c r="F221" s="5"/>
      <c r="G221" s="5"/>
      <c r="H221" s="2"/>
      <c r="I221" s="2"/>
      <c r="J221" s="2"/>
      <c r="K221" s="2"/>
      <c r="L221" s="2"/>
      <c r="M221" s="2"/>
      <c r="N221" s="2"/>
      <c r="O221" s="2"/>
      <c r="P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8"/>
      <c r="B222" s="5"/>
      <c r="C222" s="5"/>
      <c r="D222" s="10"/>
      <c r="E222" s="5"/>
      <c r="F222" s="5"/>
      <c r="G222" s="5"/>
      <c r="H222" s="2"/>
      <c r="I222" s="2"/>
      <c r="J222" s="2"/>
      <c r="K222" s="2"/>
      <c r="L222" s="2"/>
      <c r="M222" s="2"/>
      <c r="N222" s="2"/>
      <c r="O222" s="2"/>
      <c r="P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8"/>
      <c r="B223" s="5"/>
      <c r="C223" s="5"/>
      <c r="D223" s="10"/>
      <c r="E223" s="5"/>
      <c r="F223" s="5"/>
      <c r="G223" s="5"/>
      <c r="H223" s="2"/>
      <c r="I223" s="2"/>
      <c r="J223" s="2"/>
      <c r="K223" s="2"/>
      <c r="L223" s="2"/>
      <c r="M223" s="2"/>
      <c r="N223" s="2"/>
      <c r="O223" s="2"/>
      <c r="P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8"/>
      <c r="B224" s="5"/>
      <c r="C224" s="5"/>
      <c r="D224" s="10"/>
      <c r="E224" s="5"/>
      <c r="F224" s="5"/>
      <c r="G224" s="5"/>
      <c r="H224" s="2"/>
      <c r="I224" s="2"/>
      <c r="J224" s="2"/>
      <c r="K224" s="2"/>
      <c r="L224" s="2"/>
      <c r="M224" s="2"/>
      <c r="N224" s="2"/>
      <c r="O224" s="2"/>
      <c r="P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8"/>
      <c r="B225" s="5"/>
      <c r="C225" s="5"/>
      <c r="D225" s="10"/>
      <c r="E225" s="5"/>
      <c r="F225" s="5"/>
      <c r="G225" s="5"/>
      <c r="H225" s="2"/>
      <c r="I225" s="2"/>
      <c r="J225" s="2"/>
      <c r="K225" s="2"/>
      <c r="L225" s="2"/>
      <c r="M225" s="2"/>
      <c r="N225" s="2"/>
      <c r="O225" s="2"/>
      <c r="P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8"/>
      <c r="B226" s="5"/>
      <c r="C226" s="5"/>
      <c r="D226" s="10"/>
      <c r="E226" s="5"/>
      <c r="F226" s="5"/>
      <c r="G226" s="5"/>
      <c r="H226" s="2"/>
      <c r="I226" s="2"/>
      <c r="J226" s="2"/>
      <c r="K226" s="2"/>
      <c r="L226" s="2"/>
      <c r="M226" s="2"/>
      <c r="N226" s="2"/>
      <c r="O226" s="2"/>
      <c r="P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8"/>
      <c r="B227" s="5"/>
      <c r="C227" s="5"/>
      <c r="D227" s="10"/>
      <c r="E227" s="5"/>
      <c r="F227" s="5"/>
      <c r="G227" s="5"/>
      <c r="H227" s="2"/>
      <c r="I227" s="2"/>
      <c r="J227" s="2"/>
      <c r="K227" s="2"/>
      <c r="L227" s="2"/>
      <c r="M227" s="2"/>
      <c r="N227" s="2"/>
      <c r="O227" s="2"/>
      <c r="P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8"/>
      <c r="B228" s="5"/>
      <c r="C228" s="5"/>
      <c r="D228" s="10"/>
      <c r="E228" s="5"/>
      <c r="F228" s="5"/>
      <c r="G228" s="5"/>
      <c r="H228" s="2"/>
      <c r="I228" s="2"/>
      <c r="J228" s="2"/>
      <c r="K228" s="2"/>
      <c r="L228" s="2"/>
      <c r="M228" s="2"/>
      <c r="N228" s="2"/>
      <c r="O228" s="2"/>
      <c r="P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8"/>
      <c r="B229" s="5"/>
      <c r="C229" s="5"/>
      <c r="D229" s="10"/>
      <c r="E229" s="5"/>
      <c r="F229" s="5"/>
      <c r="G229" s="5"/>
      <c r="H229" s="2"/>
      <c r="I229" s="2"/>
      <c r="J229" s="2"/>
      <c r="K229" s="2"/>
      <c r="L229" s="2"/>
      <c r="M229" s="2"/>
      <c r="N229" s="2"/>
      <c r="O229" s="2"/>
      <c r="P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8"/>
      <c r="B230" s="5"/>
      <c r="C230" s="5"/>
      <c r="D230" s="10"/>
      <c r="E230" s="5"/>
      <c r="F230" s="5"/>
      <c r="G230" s="5"/>
      <c r="H230" s="2"/>
      <c r="I230" s="2"/>
      <c r="J230" s="2"/>
      <c r="K230" s="2"/>
      <c r="L230" s="2"/>
      <c r="M230" s="2"/>
      <c r="N230" s="2"/>
      <c r="O230" s="2"/>
      <c r="P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8"/>
      <c r="B231" s="5"/>
      <c r="C231" s="5"/>
      <c r="D231" s="10"/>
      <c r="E231" s="5"/>
      <c r="F231" s="5"/>
      <c r="G231" s="5"/>
      <c r="H231" s="2"/>
      <c r="I231" s="2"/>
      <c r="J231" s="2"/>
      <c r="K231" s="2"/>
      <c r="L231" s="2"/>
      <c r="M231" s="2"/>
      <c r="N231" s="2"/>
      <c r="O231" s="2"/>
      <c r="P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8"/>
      <c r="B232" s="5"/>
      <c r="C232" s="5"/>
      <c r="D232" s="10"/>
      <c r="E232" s="5"/>
      <c r="F232" s="5"/>
      <c r="G232" s="5"/>
      <c r="H232" s="2"/>
      <c r="I232" s="2"/>
      <c r="J232" s="2"/>
      <c r="K232" s="2"/>
      <c r="L232" s="2"/>
      <c r="M232" s="2"/>
      <c r="N232" s="2"/>
      <c r="O232" s="2"/>
      <c r="P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8"/>
      <c r="B233" s="5"/>
      <c r="C233" s="5"/>
      <c r="D233" s="10"/>
      <c r="E233" s="5"/>
      <c r="F233" s="5"/>
      <c r="G233" s="5"/>
      <c r="H233" s="2"/>
      <c r="I233" s="2"/>
      <c r="J233" s="2"/>
      <c r="K233" s="2"/>
      <c r="L233" s="2"/>
      <c r="M233" s="2"/>
      <c r="N233" s="2"/>
      <c r="O233" s="2"/>
      <c r="P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8"/>
      <c r="B234" s="5"/>
      <c r="C234" s="5"/>
      <c r="D234" s="10"/>
      <c r="E234" s="5"/>
      <c r="F234" s="5"/>
      <c r="G234" s="5"/>
      <c r="H234" s="2"/>
      <c r="I234" s="2"/>
      <c r="J234" s="2"/>
      <c r="K234" s="2"/>
      <c r="L234" s="2"/>
      <c r="M234" s="2"/>
      <c r="N234" s="2"/>
      <c r="O234" s="2"/>
      <c r="P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8"/>
      <c r="B235" s="5"/>
      <c r="C235" s="5"/>
      <c r="D235" s="10"/>
      <c r="E235" s="5"/>
      <c r="F235" s="5"/>
      <c r="G235" s="5"/>
      <c r="H235" s="2"/>
      <c r="I235" s="2"/>
      <c r="J235" s="2"/>
      <c r="K235" s="2"/>
      <c r="L235" s="2"/>
      <c r="M235" s="2"/>
      <c r="N235" s="2"/>
      <c r="O235" s="2"/>
      <c r="P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8"/>
      <c r="B236" s="5"/>
      <c r="C236" s="5"/>
      <c r="D236" s="10"/>
      <c r="E236" s="5"/>
      <c r="F236" s="5"/>
      <c r="G236" s="5"/>
      <c r="H236" s="2"/>
      <c r="I236" s="2"/>
      <c r="J236" s="2"/>
      <c r="K236" s="2"/>
      <c r="L236" s="2"/>
      <c r="M236" s="2"/>
      <c r="N236" s="2"/>
      <c r="O236" s="2"/>
      <c r="P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8"/>
      <c r="B237" s="5"/>
      <c r="C237" s="5"/>
      <c r="D237" s="10"/>
      <c r="E237" s="5"/>
      <c r="F237" s="5"/>
      <c r="G237" s="5"/>
      <c r="H237" s="2"/>
      <c r="I237" s="2"/>
      <c r="J237" s="2"/>
      <c r="K237" s="2"/>
      <c r="L237" s="2"/>
      <c r="M237" s="2"/>
      <c r="N237" s="2"/>
      <c r="O237" s="2"/>
      <c r="P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8"/>
      <c r="B238" s="5"/>
      <c r="C238" s="5"/>
      <c r="D238" s="10"/>
      <c r="E238" s="5"/>
      <c r="F238" s="5"/>
      <c r="G238" s="5"/>
      <c r="H238" s="2"/>
      <c r="I238" s="2"/>
      <c r="J238" s="2"/>
      <c r="K238" s="2"/>
      <c r="L238" s="2"/>
      <c r="M238" s="2"/>
      <c r="N238" s="2"/>
      <c r="O238" s="2"/>
      <c r="P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8"/>
      <c r="B239" s="5"/>
      <c r="C239" s="5"/>
      <c r="D239" s="10"/>
      <c r="E239" s="5"/>
      <c r="F239" s="5"/>
      <c r="G239" s="5"/>
      <c r="H239" s="2"/>
      <c r="I239" s="2"/>
      <c r="J239" s="2"/>
      <c r="K239" s="2"/>
      <c r="L239" s="2"/>
      <c r="M239" s="2"/>
      <c r="N239" s="2"/>
      <c r="O239" s="2"/>
      <c r="P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8"/>
      <c r="B240" s="5"/>
      <c r="C240" s="5"/>
      <c r="D240" s="10"/>
      <c r="E240" s="5"/>
      <c r="F240" s="5"/>
      <c r="G240" s="5"/>
      <c r="H240" s="2"/>
      <c r="I240" s="2"/>
      <c r="J240" s="2"/>
      <c r="K240" s="2"/>
      <c r="L240" s="2"/>
      <c r="M240" s="2"/>
      <c r="N240" s="2"/>
      <c r="O240" s="2"/>
      <c r="P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8"/>
      <c r="B241" s="5"/>
      <c r="C241" s="5"/>
      <c r="D241" s="10"/>
      <c r="E241" s="5"/>
      <c r="F241" s="5"/>
      <c r="G241" s="5"/>
      <c r="H241" s="2"/>
      <c r="I241" s="2"/>
      <c r="J241" s="2"/>
      <c r="K241" s="2"/>
      <c r="L241" s="2"/>
      <c r="M241" s="2"/>
      <c r="N241" s="2"/>
      <c r="O241" s="2"/>
      <c r="P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8"/>
      <c r="B242" s="5"/>
      <c r="C242" s="5"/>
      <c r="D242" s="10"/>
      <c r="E242" s="5"/>
      <c r="F242" s="5"/>
      <c r="G242" s="5"/>
      <c r="H242" s="2"/>
      <c r="I242" s="2"/>
      <c r="J242" s="2"/>
      <c r="K242" s="2"/>
      <c r="L242" s="2"/>
      <c r="M242" s="2"/>
      <c r="N242" s="2"/>
      <c r="O242" s="2"/>
      <c r="P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8"/>
      <c r="B243" s="5"/>
      <c r="C243" s="5"/>
      <c r="D243" s="10"/>
      <c r="E243" s="5"/>
      <c r="F243" s="5"/>
      <c r="G243" s="5"/>
      <c r="H243" s="2"/>
      <c r="I243" s="2"/>
      <c r="J243" s="2"/>
      <c r="K243" s="2"/>
      <c r="L243" s="2"/>
      <c r="M243" s="2"/>
      <c r="N243" s="2"/>
      <c r="O243" s="2"/>
      <c r="P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8"/>
      <c r="B244" s="5"/>
      <c r="C244" s="5"/>
      <c r="D244" s="10"/>
      <c r="E244" s="5"/>
      <c r="F244" s="5"/>
      <c r="G244" s="5"/>
      <c r="H244" s="2"/>
      <c r="I244" s="2"/>
      <c r="J244" s="2"/>
      <c r="K244" s="2"/>
      <c r="L244" s="2"/>
      <c r="M244" s="2"/>
      <c r="N244" s="2"/>
      <c r="O244" s="2"/>
      <c r="P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8"/>
      <c r="B245" s="5"/>
      <c r="C245" s="5"/>
      <c r="D245" s="10"/>
      <c r="E245" s="5"/>
      <c r="F245" s="5"/>
      <c r="G245" s="5"/>
      <c r="H245" s="2"/>
      <c r="I245" s="2"/>
      <c r="J245" s="2"/>
      <c r="K245" s="2"/>
      <c r="L245" s="2"/>
      <c r="M245" s="2"/>
      <c r="N245" s="2"/>
      <c r="O245" s="2"/>
      <c r="P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8"/>
      <c r="B246" s="5"/>
      <c r="C246" s="5"/>
      <c r="D246" s="10"/>
      <c r="E246" s="5"/>
      <c r="F246" s="5"/>
      <c r="G246" s="5"/>
      <c r="H246" s="2"/>
      <c r="I246" s="2"/>
      <c r="J246" s="2"/>
      <c r="K246" s="2"/>
      <c r="L246" s="2"/>
      <c r="M246" s="2"/>
      <c r="N246" s="2"/>
      <c r="O246" s="2"/>
      <c r="P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8"/>
      <c r="B247" s="5"/>
      <c r="C247" s="5"/>
      <c r="D247" s="10"/>
      <c r="E247" s="5"/>
      <c r="F247" s="5"/>
      <c r="G247" s="5"/>
      <c r="H247" s="2"/>
      <c r="I247" s="2"/>
      <c r="J247" s="2"/>
      <c r="K247" s="2"/>
      <c r="L247" s="2"/>
      <c r="M247" s="2"/>
      <c r="N247" s="2"/>
      <c r="O247" s="2"/>
      <c r="P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8"/>
      <c r="B248" s="5"/>
      <c r="C248" s="5"/>
      <c r="D248" s="10"/>
      <c r="E248" s="5"/>
      <c r="F248" s="5"/>
      <c r="G248" s="5"/>
      <c r="H248" s="2"/>
      <c r="I248" s="2"/>
      <c r="J248" s="2"/>
      <c r="K248" s="2"/>
      <c r="L248" s="2"/>
      <c r="M248" s="2"/>
      <c r="N248" s="2"/>
      <c r="O248" s="2"/>
      <c r="P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8"/>
      <c r="B249" s="5"/>
      <c r="C249" s="5"/>
      <c r="D249" s="10"/>
      <c r="E249" s="5"/>
      <c r="F249" s="5"/>
      <c r="G249" s="5"/>
      <c r="H249" s="2"/>
      <c r="I249" s="2"/>
      <c r="J249" s="2"/>
      <c r="K249" s="2"/>
      <c r="L249" s="2"/>
      <c r="M249" s="2"/>
      <c r="N249" s="2"/>
      <c r="O249" s="2"/>
      <c r="P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8"/>
      <c r="B250" s="5"/>
      <c r="C250" s="5"/>
      <c r="D250" s="10"/>
      <c r="E250" s="5"/>
      <c r="F250" s="5"/>
      <c r="G250" s="5"/>
      <c r="H250" s="2"/>
      <c r="I250" s="2"/>
      <c r="J250" s="2"/>
      <c r="K250" s="2"/>
      <c r="L250" s="2"/>
      <c r="M250" s="2"/>
      <c r="N250" s="2"/>
      <c r="O250" s="2"/>
      <c r="P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5"/>
      <c r="B251" s="5"/>
      <c r="C251" s="5"/>
      <c r="D251" s="5"/>
      <c r="E251" s="5"/>
      <c r="F251" s="5"/>
      <c r="G251" s="5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5"/>
      <c r="B252" s="5"/>
      <c r="C252" s="5"/>
      <c r="D252" s="5"/>
      <c r="E252" s="5"/>
      <c r="F252" s="5"/>
      <c r="G252" s="5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5"/>
      <c r="B253" s="5"/>
      <c r="C253" s="5"/>
      <c r="D253" s="5"/>
      <c r="E253" s="5"/>
      <c r="F253" s="5"/>
      <c r="G253" s="5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5"/>
      <c r="B254" s="5"/>
      <c r="C254" s="5"/>
      <c r="D254" s="5"/>
      <c r="E254" s="5"/>
      <c r="F254" s="5"/>
      <c r="G254" s="5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5"/>
      <c r="B255" s="5"/>
      <c r="C255" s="5"/>
      <c r="D255" s="5"/>
      <c r="E255" s="5"/>
      <c r="F255" s="5"/>
      <c r="G255" s="5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5"/>
      <c r="B256" s="5"/>
      <c r="C256" s="5"/>
      <c r="D256" s="5"/>
      <c r="E256" s="5"/>
      <c r="F256" s="5"/>
      <c r="G256" s="5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5"/>
      <c r="B257" s="5"/>
      <c r="C257" s="5"/>
      <c r="D257" s="5"/>
      <c r="E257" s="5"/>
      <c r="F257" s="5"/>
      <c r="G257" s="5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5"/>
      <c r="B258" s="5"/>
      <c r="C258" s="5"/>
      <c r="D258" s="5"/>
      <c r="E258" s="5"/>
      <c r="F258" s="5"/>
      <c r="G258" s="5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5"/>
      <c r="B259" s="5"/>
      <c r="C259" s="5"/>
      <c r="D259" s="5"/>
      <c r="E259" s="5"/>
      <c r="F259" s="5"/>
      <c r="G259" s="5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5"/>
      <c r="B260" s="5"/>
      <c r="C260" s="5"/>
      <c r="D260" s="5"/>
      <c r="E260" s="5"/>
      <c r="F260" s="5"/>
      <c r="G260" s="5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5"/>
      <c r="B261" s="5"/>
      <c r="C261" s="5"/>
      <c r="D261" s="5"/>
      <c r="E261" s="5"/>
      <c r="F261" s="5"/>
      <c r="G261" s="5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5"/>
      <c r="B262" s="5"/>
      <c r="C262" s="5"/>
      <c r="D262" s="5"/>
      <c r="E262" s="5"/>
      <c r="F262" s="5"/>
      <c r="G262" s="5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5"/>
      <c r="B263" s="5"/>
      <c r="C263" s="5"/>
      <c r="D263" s="5"/>
      <c r="E263" s="5"/>
      <c r="F263" s="5"/>
      <c r="G263" s="5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5"/>
      <c r="B264" s="5"/>
      <c r="C264" s="5"/>
      <c r="D264" s="5"/>
      <c r="E264" s="5"/>
      <c r="F264" s="5"/>
      <c r="G264" s="5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5"/>
      <c r="B265" s="5"/>
      <c r="C265" s="5"/>
      <c r="D265" s="5"/>
      <c r="E265" s="5"/>
      <c r="F265" s="5"/>
      <c r="G265" s="5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5"/>
      <c r="B266" s="5"/>
      <c r="C266" s="5"/>
      <c r="D266" s="5"/>
      <c r="E266" s="5"/>
      <c r="F266" s="5"/>
      <c r="G266" s="5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5"/>
      <c r="B267" s="5"/>
      <c r="C267" s="5"/>
      <c r="D267" s="5"/>
      <c r="E267" s="5"/>
      <c r="F267" s="5"/>
      <c r="G267" s="5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5"/>
      <c r="B268" s="5"/>
      <c r="C268" s="5"/>
      <c r="D268" s="5"/>
      <c r="E268" s="5"/>
      <c r="F268" s="5"/>
      <c r="G268" s="5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5"/>
      <c r="B269" s="5"/>
      <c r="C269" s="5"/>
      <c r="D269" s="5"/>
      <c r="E269" s="5"/>
      <c r="F269" s="5"/>
      <c r="G269" s="5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5"/>
      <c r="B270" s="5"/>
      <c r="C270" s="5"/>
      <c r="D270" s="5"/>
      <c r="E270" s="5"/>
      <c r="F270" s="5"/>
      <c r="G270" s="5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5"/>
      <c r="B271" s="5"/>
      <c r="C271" s="5"/>
      <c r="D271" s="5"/>
      <c r="E271" s="5"/>
      <c r="F271" s="5"/>
      <c r="G271" s="5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5"/>
      <c r="B272" s="5"/>
      <c r="C272" s="5"/>
      <c r="D272" s="5"/>
      <c r="E272" s="5"/>
      <c r="F272" s="5"/>
      <c r="G272" s="5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5"/>
      <c r="B273" s="5"/>
      <c r="C273" s="5"/>
      <c r="D273" s="5"/>
      <c r="E273" s="5"/>
      <c r="F273" s="5"/>
      <c r="G273" s="5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5"/>
      <c r="B274" s="5"/>
      <c r="C274" s="5"/>
      <c r="D274" s="5"/>
      <c r="E274" s="5"/>
      <c r="F274" s="5"/>
      <c r="G274" s="5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5"/>
      <c r="B275" s="5"/>
      <c r="C275" s="5"/>
      <c r="D275" s="5"/>
      <c r="E275" s="5"/>
      <c r="F275" s="5"/>
      <c r="G275" s="5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5"/>
      <c r="B276" s="5"/>
      <c r="C276" s="5"/>
      <c r="D276" s="5"/>
      <c r="E276" s="5"/>
      <c r="F276" s="5"/>
      <c r="G276" s="5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5"/>
      <c r="B277" s="5"/>
      <c r="C277" s="5"/>
      <c r="D277" s="5"/>
      <c r="E277" s="5"/>
      <c r="F277" s="5"/>
      <c r="G277" s="5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5"/>
      <c r="B278" s="5"/>
      <c r="C278" s="5"/>
      <c r="D278" s="5"/>
      <c r="E278" s="5"/>
      <c r="F278" s="5"/>
      <c r="G278" s="5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5"/>
      <c r="B279" s="5"/>
      <c r="C279" s="5"/>
      <c r="D279" s="5"/>
      <c r="E279" s="5"/>
      <c r="F279" s="5"/>
      <c r="G279" s="5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5"/>
      <c r="B280" s="5"/>
      <c r="C280" s="5"/>
      <c r="D280" s="5"/>
      <c r="E280" s="5"/>
      <c r="F280" s="5"/>
      <c r="G280" s="5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5"/>
      <c r="B281" s="5"/>
      <c r="C281" s="5"/>
      <c r="D281" s="5"/>
      <c r="E281" s="5"/>
      <c r="F281" s="5"/>
      <c r="G281" s="5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5"/>
      <c r="B282" s="5"/>
      <c r="C282" s="5"/>
      <c r="D282" s="5"/>
      <c r="E282" s="5"/>
      <c r="F282" s="5"/>
      <c r="G282" s="5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5"/>
      <c r="B283" s="5"/>
      <c r="C283" s="5"/>
      <c r="D283" s="5"/>
      <c r="E283" s="5"/>
      <c r="F283" s="5"/>
      <c r="G283" s="5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5"/>
      <c r="B284" s="5"/>
      <c r="C284" s="5"/>
      <c r="D284" s="5"/>
      <c r="E284" s="5"/>
      <c r="F284" s="5"/>
      <c r="G284" s="5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5"/>
      <c r="B285" s="5"/>
      <c r="C285" s="5"/>
      <c r="D285" s="5"/>
      <c r="E285" s="5"/>
      <c r="F285" s="5"/>
      <c r="G285" s="5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5"/>
      <c r="B286" s="5"/>
      <c r="C286" s="5"/>
      <c r="D286" s="5"/>
      <c r="E286" s="5"/>
      <c r="F286" s="5"/>
      <c r="G286" s="5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5"/>
      <c r="B287" s="5"/>
      <c r="C287" s="5"/>
      <c r="D287" s="5"/>
      <c r="E287" s="5"/>
      <c r="F287" s="5"/>
      <c r="G287" s="5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5"/>
      <c r="B288" s="5"/>
      <c r="C288" s="5"/>
      <c r="D288" s="5"/>
      <c r="E288" s="5"/>
      <c r="F288" s="5"/>
      <c r="G288" s="5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5"/>
      <c r="B289" s="5"/>
      <c r="C289" s="5"/>
      <c r="D289" s="5"/>
      <c r="E289" s="5"/>
      <c r="F289" s="5"/>
      <c r="G289" s="5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5"/>
      <c r="B290" s="5"/>
      <c r="C290" s="5"/>
      <c r="D290" s="5"/>
      <c r="E290" s="5"/>
      <c r="F290" s="5"/>
      <c r="G290" s="5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5"/>
      <c r="B291" s="5"/>
      <c r="C291" s="5"/>
      <c r="D291" s="5"/>
      <c r="E291" s="5"/>
      <c r="F291" s="5"/>
      <c r="G291" s="5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5"/>
      <c r="B292" s="5"/>
      <c r="C292" s="5"/>
      <c r="D292" s="5"/>
      <c r="E292" s="5"/>
      <c r="F292" s="5"/>
      <c r="G292" s="5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5"/>
      <c r="B293" s="5"/>
      <c r="C293" s="5"/>
      <c r="D293" s="5"/>
      <c r="E293" s="5"/>
      <c r="F293" s="5"/>
      <c r="G293" s="5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5"/>
      <c r="B294" s="5"/>
      <c r="C294" s="5"/>
      <c r="D294" s="5"/>
      <c r="E294" s="5"/>
      <c r="F294" s="5"/>
      <c r="G294" s="5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5"/>
      <c r="B295" s="5"/>
      <c r="C295" s="5"/>
      <c r="D295" s="5"/>
      <c r="E295" s="5"/>
      <c r="F295" s="5"/>
      <c r="G295" s="5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5"/>
      <c r="B296" s="5"/>
      <c r="C296" s="5"/>
      <c r="D296" s="5"/>
      <c r="E296" s="5"/>
      <c r="F296" s="5"/>
      <c r="G296" s="5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5"/>
      <c r="B297" s="5"/>
      <c r="C297" s="5"/>
      <c r="D297" s="5"/>
      <c r="E297" s="5"/>
      <c r="F297" s="5"/>
      <c r="G297" s="5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5"/>
      <c r="B298" s="5"/>
      <c r="C298" s="5"/>
      <c r="D298" s="5"/>
      <c r="E298" s="5"/>
      <c r="F298" s="5"/>
      <c r="G298" s="5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5"/>
      <c r="B299" s="5"/>
      <c r="C299" s="5"/>
      <c r="D299" s="5"/>
      <c r="E299" s="5"/>
      <c r="F299" s="5"/>
      <c r="G299" s="5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5"/>
      <c r="B300" s="5"/>
      <c r="C300" s="5"/>
      <c r="D300" s="5"/>
      <c r="E300" s="5"/>
      <c r="F300" s="5"/>
      <c r="G300" s="5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5"/>
      <c r="B301" s="5"/>
      <c r="C301" s="5"/>
      <c r="D301" s="5"/>
      <c r="E301" s="5"/>
      <c r="F301" s="5"/>
      <c r="G301" s="5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5"/>
      <c r="B302" s="5"/>
      <c r="C302" s="5"/>
      <c r="D302" s="5"/>
      <c r="E302" s="5"/>
      <c r="F302" s="5"/>
      <c r="G302" s="5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5"/>
      <c r="B303" s="5"/>
      <c r="C303" s="5"/>
      <c r="D303" s="5"/>
      <c r="E303" s="5"/>
      <c r="F303" s="5"/>
      <c r="G303" s="5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5"/>
      <c r="B304" s="5"/>
      <c r="C304" s="5"/>
      <c r="D304" s="5"/>
      <c r="E304" s="5"/>
      <c r="F304" s="5"/>
      <c r="G304" s="5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5"/>
      <c r="B305" s="5"/>
      <c r="C305" s="5"/>
      <c r="D305" s="5"/>
      <c r="E305" s="5"/>
      <c r="F305" s="5"/>
      <c r="G305" s="5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5"/>
      <c r="B306" s="5"/>
      <c r="C306" s="5"/>
      <c r="D306" s="5"/>
      <c r="E306" s="5"/>
      <c r="F306" s="5"/>
      <c r="G306" s="5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5"/>
      <c r="B307" s="5"/>
      <c r="C307" s="5"/>
      <c r="D307" s="5"/>
      <c r="E307" s="5"/>
      <c r="F307" s="5"/>
      <c r="G307" s="5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5"/>
      <c r="B308" s="5"/>
      <c r="C308" s="5"/>
      <c r="D308" s="5"/>
      <c r="E308" s="5"/>
      <c r="F308" s="5"/>
      <c r="G308" s="5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5"/>
      <c r="B309" s="5"/>
      <c r="C309" s="5"/>
      <c r="D309" s="5"/>
      <c r="E309" s="5"/>
      <c r="F309" s="5"/>
      <c r="G309" s="5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5"/>
      <c r="B310" s="5"/>
      <c r="C310" s="5"/>
      <c r="D310" s="5"/>
      <c r="E310" s="5"/>
      <c r="F310" s="5"/>
      <c r="G310" s="5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5"/>
      <c r="B311" s="5"/>
      <c r="C311" s="5"/>
      <c r="D311" s="5"/>
      <c r="E311" s="5"/>
      <c r="F311" s="5"/>
      <c r="G311" s="5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5"/>
      <c r="B312" s="5"/>
      <c r="C312" s="5"/>
      <c r="D312" s="5"/>
      <c r="E312" s="5"/>
      <c r="F312" s="5"/>
      <c r="G312" s="5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5"/>
      <c r="B313" s="5"/>
      <c r="C313" s="5"/>
      <c r="D313" s="5"/>
      <c r="E313" s="5"/>
      <c r="F313" s="5"/>
      <c r="G313" s="5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5"/>
      <c r="B314" s="5"/>
      <c r="C314" s="5"/>
      <c r="D314" s="5"/>
      <c r="E314" s="5"/>
      <c r="F314" s="5"/>
      <c r="G314" s="5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5"/>
      <c r="B315" s="5"/>
      <c r="C315" s="5"/>
      <c r="D315" s="5"/>
      <c r="E315" s="5"/>
      <c r="F315" s="5"/>
      <c r="G315" s="5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5"/>
      <c r="B316" s="5"/>
      <c r="C316" s="5"/>
      <c r="D316" s="5"/>
      <c r="E316" s="5"/>
      <c r="F316" s="5"/>
      <c r="G316" s="5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5"/>
      <c r="B317" s="5"/>
      <c r="C317" s="5"/>
      <c r="D317" s="5"/>
      <c r="E317" s="5"/>
      <c r="F317" s="5"/>
      <c r="G317" s="5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5"/>
      <c r="B318" s="5"/>
      <c r="C318" s="5"/>
      <c r="D318" s="5"/>
      <c r="E318" s="5"/>
      <c r="F318" s="5"/>
      <c r="G318" s="5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5"/>
      <c r="B319" s="5"/>
      <c r="C319" s="5"/>
      <c r="D319" s="5"/>
      <c r="E319" s="5"/>
      <c r="F319" s="5"/>
      <c r="G319" s="5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5"/>
      <c r="B320" s="5"/>
      <c r="C320" s="5"/>
      <c r="D320" s="5"/>
      <c r="E320" s="5"/>
      <c r="F320" s="5"/>
      <c r="G320" s="5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5"/>
      <c r="B321" s="5"/>
      <c r="C321" s="5"/>
      <c r="D321" s="5"/>
      <c r="E321" s="5"/>
      <c r="F321" s="5"/>
      <c r="G321" s="5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5"/>
      <c r="B322" s="5"/>
      <c r="C322" s="5"/>
      <c r="D322" s="5"/>
      <c r="E322" s="5"/>
      <c r="F322" s="5"/>
      <c r="G322" s="5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5"/>
      <c r="B323" s="5"/>
      <c r="C323" s="5"/>
      <c r="D323" s="5"/>
      <c r="E323" s="5"/>
      <c r="F323" s="5"/>
      <c r="G323" s="5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5"/>
      <c r="B324" s="5"/>
      <c r="C324" s="5"/>
      <c r="D324" s="5"/>
      <c r="E324" s="5"/>
      <c r="F324" s="5"/>
      <c r="G324" s="5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5"/>
      <c r="B325" s="5"/>
      <c r="C325" s="5"/>
      <c r="D325" s="5"/>
      <c r="E325" s="5"/>
      <c r="F325" s="5"/>
      <c r="G325" s="5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5"/>
      <c r="B326" s="5"/>
      <c r="C326" s="5"/>
      <c r="D326" s="5"/>
      <c r="E326" s="5"/>
      <c r="F326" s="5"/>
      <c r="G326" s="5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5"/>
      <c r="B327" s="5"/>
      <c r="C327" s="5"/>
      <c r="D327" s="5"/>
      <c r="E327" s="5"/>
      <c r="F327" s="5"/>
      <c r="G327" s="5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5"/>
      <c r="B328" s="5"/>
      <c r="C328" s="5"/>
      <c r="D328" s="5"/>
      <c r="E328" s="5"/>
      <c r="F328" s="5"/>
      <c r="G328" s="5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5"/>
      <c r="B329" s="5"/>
      <c r="C329" s="5"/>
      <c r="D329" s="5"/>
      <c r="E329" s="5"/>
      <c r="F329" s="5"/>
      <c r="G329" s="5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5"/>
      <c r="B330" s="5"/>
      <c r="C330" s="5"/>
      <c r="D330" s="5"/>
      <c r="E330" s="5"/>
      <c r="F330" s="5"/>
      <c r="G330" s="5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5"/>
      <c r="B331" s="5"/>
      <c r="C331" s="5"/>
      <c r="D331" s="5"/>
      <c r="E331" s="5"/>
      <c r="F331" s="5"/>
      <c r="G331" s="5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5"/>
      <c r="B332" s="5"/>
      <c r="C332" s="5"/>
      <c r="D332" s="5"/>
      <c r="E332" s="5"/>
      <c r="F332" s="5"/>
      <c r="G332" s="5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5"/>
      <c r="B333" s="5"/>
      <c r="C333" s="5"/>
      <c r="D333" s="5"/>
      <c r="E333" s="5"/>
      <c r="F333" s="5"/>
      <c r="G333" s="5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5"/>
      <c r="B334" s="5"/>
      <c r="C334" s="5"/>
      <c r="D334" s="5"/>
      <c r="E334" s="5"/>
      <c r="F334" s="5"/>
      <c r="G334" s="5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5"/>
      <c r="B335" s="5"/>
      <c r="C335" s="5"/>
      <c r="D335" s="5"/>
      <c r="E335" s="5"/>
      <c r="F335" s="5"/>
      <c r="G335" s="5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5"/>
      <c r="B336" s="5"/>
      <c r="C336" s="5"/>
      <c r="D336" s="5"/>
      <c r="E336" s="5"/>
      <c r="F336" s="5"/>
      <c r="G336" s="5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5"/>
      <c r="B337" s="5"/>
      <c r="C337" s="5"/>
      <c r="D337" s="5"/>
      <c r="E337" s="5"/>
      <c r="F337" s="5"/>
      <c r="G337" s="5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5"/>
      <c r="B338" s="5"/>
      <c r="C338" s="5"/>
      <c r="D338" s="5"/>
      <c r="E338" s="5"/>
      <c r="F338" s="5"/>
      <c r="G338" s="5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5"/>
      <c r="B339" s="5"/>
      <c r="C339" s="5"/>
      <c r="D339" s="5"/>
      <c r="E339" s="5"/>
      <c r="F339" s="5"/>
      <c r="G339" s="5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5"/>
      <c r="B340" s="5"/>
      <c r="C340" s="5"/>
      <c r="D340" s="5"/>
      <c r="E340" s="5"/>
      <c r="F340" s="5"/>
      <c r="G340" s="5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5"/>
      <c r="B341" s="5"/>
      <c r="C341" s="5"/>
      <c r="D341" s="5"/>
      <c r="E341" s="5"/>
      <c r="F341" s="5"/>
      <c r="G341" s="5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5"/>
      <c r="B342" s="5"/>
      <c r="C342" s="5"/>
      <c r="D342" s="5"/>
      <c r="E342" s="5"/>
      <c r="F342" s="5"/>
      <c r="G342" s="5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5"/>
      <c r="B343" s="5"/>
      <c r="C343" s="5"/>
      <c r="D343" s="5"/>
      <c r="E343" s="5"/>
      <c r="F343" s="5"/>
      <c r="G343" s="5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5"/>
      <c r="B344" s="5"/>
      <c r="C344" s="5"/>
      <c r="D344" s="5"/>
      <c r="E344" s="5"/>
      <c r="F344" s="5"/>
      <c r="G344" s="5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5"/>
      <c r="B345" s="5"/>
      <c r="C345" s="5"/>
      <c r="D345" s="5"/>
      <c r="E345" s="5"/>
      <c r="F345" s="5"/>
      <c r="G345" s="5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5"/>
      <c r="B346" s="5"/>
      <c r="C346" s="5"/>
      <c r="D346" s="5"/>
      <c r="E346" s="5"/>
      <c r="F346" s="5"/>
      <c r="G346" s="5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5"/>
      <c r="B347" s="5"/>
      <c r="C347" s="5"/>
      <c r="D347" s="5"/>
      <c r="E347" s="5"/>
      <c r="F347" s="5"/>
      <c r="G347" s="5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5"/>
      <c r="B348" s="5"/>
      <c r="C348" s="5"/>
      <c r="D348" s="5"/>
      <c r="E348" s="5"/>
      <c r="F348" s="5"/>
      <c r="G348" s="5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5"/>
      <c r="B349" s="5"/>
      <c r="C349" s="5"/>
      <c r="D349" s="5"/>
      <c r="E349" s="5"/>
      <c r="F349" s="5"/>
      <c r="G349" s="5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5"/>
      <c r="B350" s="5"/>
      <c r="C350" s="5"/>
      <c r="D350" s="5"/>
      <c r="E350" s="5"/>
      <c r="F350" s="5"/>
      <c r="G350" s="5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5"/>
      <c r="B351" s="5"/>
      <c r="C351" s="5"/>
      <c r="D351" s="5"/>
      <c r="E351" s="5"/>
      <c r="F351" s="5"/>
      <c r="G351" s="5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5"/>
      <c r="B352" s="5"/>
      <c r="C352" s="5"/>
      <c r="D352" s="5"/>
      <c r="E352" s="5"/>
      <c r="F352" s="5"/>
      <c r="G352" s="5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5"/>
      <c r="B353" s="5"/>
      <c r="C353" s="5"/>
      <c r="D353" s="5"/>
      <c r="E353" s="5"/>
      <c r="F353" s="5"/>
      <c r="G353" s="5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5"/>
      <c r="B354" s="5"/>
      <c r="C354" s="5"/>
      <c r="D354" s="5"/>
      <c r="E354" s="5"/>
      <c r="F354" s="5"/>
      <c r="G354" s="5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5"/>
      <c r="B355" s="5"/>
      <c r="C355" s="5"/>
      <c r="D355" s="5"/>
      <c r="E355" s="5"/>
      <c r="F355" s="5"/>
      <c r="G355" s="5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5"/>
      <c r="B356" s="5"/>
      <c r="C356" s="5"/>
      <c r="D356" s="5"/>
      <c r="E356" s="5"/>
      <c r="F356" s="5"/>
      <c r="G356" s="5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5"/>
      <c r="B357" s="5"/>
      <c r="C357" s="5"/>
      <c r="D357" s="5"/>
      <c r="E357" s="5"/>
      <c r="F357" s="5"/>
      <c r="G357" s="5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5"/>
      <c r="B358" s="5"/>
      <c r="C358" s="5"/>
      <c r="D358" s="5"/>
      <c r="E358" s="5"/>
      <c r="F358" s="5"/>
      <c r="G358" s="5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5"/>
      <c r="B359" s="5"/>
      <c r="C359" s="5"/>
      <c r="D359" s="5"/>
      <c r="E359" s="5"/>
      <c r="F359" s="5"/>
      <c r="G359" s="5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5"/>
      <c r="B360" s="5"/>
      <c r="C360" s="5"/>
      <c r="D360" s="5"/>
      <c r="E360" s="5"/>
      <c r="F360" s="5"/>
      <c r="G360" s="5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5"/>
      <c r="B361" s="5"/>
      <c r="C361" s="5"/>
      <c r="D361" s="5"/>
      <c r="E361" s="5"/>
      <c r="F361" s="5"/>
      <c r="G361" s="5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5"/>
      <c r="B362" s="5"/>
      <c r="C362" s="5"/>
      <c r="D362" s="5"/>
      <c r="E362" s="5"/>
      <c r="F362" s="5"/>
      <c r="G362" s="5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5"/>
      <c r="B363" s="5"/>
      <c r="C363" s="5"/>
      <c r="D363" s="5"/>
      <c r="E363" s="5"/>
      <c r="F363" s="5"/>
      <c r="G363" s="5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5"/>
      <c r="B364" s="5"/>
      <c r="C364" s="5"/>
      <c r="D364" s="5"/>
      <c r="E364" s="5"/>
      <c r="F364" s="5"/>
      <c r="G364" s="5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5"/>
      <c r="B365" s="5"/>
      <c r="C365" s="5"/>
      <c r="D365" s="5"/>
      <c r="E365" s="5"/>
      <c r="F365" s="5"/>
      <c r="G365" s="5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5"/>
      <c r="B366" s="5"/>
      <c r="C366" s="5"/>
      <c r="D366" s="5"/>
      <c r="E366" s="5"/>
      <c r="F366" s="5"/>
      <c r="G366" s="5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5"/>
      <c r="B367" s="5"/>
      <c r="C367" s="5"/>
      <c r="D367" s="5"/>
      <c r="E367" s="5"/>
      <c r="F367" s="5"/>
      <c r="G367" s="5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5"/>
      <c r="B368" s="5"/>
      <c r="C368" s="5"/>
      <c r="D368" s="5"/>
      <c r="E368" s="5"/>
      <c r="F368" s="5"/>
      <c r="G368" s="5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5"/>
      <c r="B369" s="5"/>
      <c r="C369" s="5"/>
      <c r="D369" s="5"/>
      <c r="E369" s="5"/>
      <c r="F369" s="5"/>
      <c r="G369" s="5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5"/>
      <c r="B370" s="5"/>
      <c r="C370" s="5"/>
      <c r="D370" s="5"/>
      <c r="E370" s="5"/>
      <c r="F370" s="5"/>
      <c r="G370" s="5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5"/>
      <c r="B371" s="5"/>
      <c r="C371" s="5"/>
      <c r="D371" s="5"/>
      <c r="E371" s="5"/>
      <c r="F371" s="5"/>
      <c r="G371" s="5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5"/>
      <c r="B372" s="5"/>
      <c r="C372" s="5"/>
      <c r="D372" s="5"/>
      <c r="E372" s="5"/>
      <c r="F372" s="5"/>
      <c r="G372" s="5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5"/>
      <c r="B373" s="5"/>
      <c r="C373" s="5"/>
      <c r="D373" s="5"/>
      <c r="E373" s="5"/>
      <c r="F373" s="5"/>
      <c r="G373" s="5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5"/>
      <c r="B374" s="5"/>
      <c r="C374" s="5"/>
      <c r="D374" s="5"/>
      <c r="E374" s="5"/>
      <c r="F374" s="5"/>
      <c r="G374" s="5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5"/>
      <c r="B375" s="5"/>
      <c r="C375" s="5"/>
      <c r="D375" s="5"/>
      <c r="E375" s="5"/>
      <c r="F375" s="5"/>
      <c r="G375" s="5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5"/>
      <c r="B376" s="5"/>
      <c r="C376" s="5"/>
      <c r="D376" s="5"/>
      <c r="E376" s="5"/>
      <c r="F376" s="5"/>
      <c r="G376" s="5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5"/>
      <c r="B377" s="5"/>
      <c r="C377" s="5"/>
      <c r="D377" s="5"/>
      <c r="E377" s="5"/>
      <c r="F377" s="5"/>
      <c r="G377" s="5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5"/>
      <c r="B378" s="5"/>
      <c r="C378" s="5"/>
      <c r="D378" s="5"/>
      <c r="E378" s="5"/>
      <c r="F378" s="5"/>
      <c r="G378" s="5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5"/>
      <c r="B379" s="5"/>
      <c r="C379" s="5"/>
      <c r="D379" s="5"/>
      <c r="E379" s="5"/>
      <c r="F379" s="5"/>
      <c r="G379" s="5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5"/>
      <c r="B380" s="5"/>
      <c r="C380" s="5"/>
      <c r="D380" s="5"/>
      <c r="E380" s="5"/>
      <c r="F380" s="5"/>
      <c r="G380" s="5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5"/>
      <c r="B381" s="5"/>
      <c r="C381" s="5"/>
      <c r="D381" s="5"/>
      <c r="E381" s="5"/>
      <c r="F381" s="5"/>
      <c r="G381" s="5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5"/>
      <c r="B382" s="5"/>
      <c r="C382" s="5"/>
      <c r="D382" s="5"/>
      <c r="E382" s="5"/>
      <c r="F382" s="5"/>
      <c r="G382" s="5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5"/>
      <c r="B383" s="5"/>
      <c r="C383" s="5"/>
      <c r="D383" s="5"/>
      <c r="E383" s="5"/>
      <c r="F383" s="5"/>
      <c r="G383" s="5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5"/>
      <c r="B384" s="5"/>
      <c r="C384" s="5"/>
      <c r="D384" s="5"/>
      <c r="E384" s="5"/>
      <c r="F384" s="5"/>
      <c r="G384" s="5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5"/>
      <c r="B385" s="5"/>
      <c r="C385" s="5"/>
      <c r="D385" s="5"/>
      <c r="E385" s="5"/>
      <c r="F385" s="5"/>
      <c r="G385" s="5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5"/>
      <c r="B386" s="5"/>
      <c r="C386" s="5"/>
      <c r="D386" s="5"/>
      <c r="E386" s="5"/>
      <c r="F386" s="5"/>
      <c r="G386" s="5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5"/>
      <c r="B387" s="5"/>
      <c r="C387" s="5"/>
      <c r="D387" s="5"/>
      <c r="E387" s="5"/>
      <c r="F387" s="5"/>
      <c r="G387" s="5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5"/>
      <c r="B388" s="5"/>
      <c r="C388" s="5"/>
      <c r="D388" s="5"/>
      <c r="E388" s="5"/>
      <c r="F388" s="5"/>
      <c r="G388" s="5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5"/>
      <c r="B389" s="5"/>
      <c r="C389" s="5"/>
      <c r="D389" s="5"/>
      <c r="E389" s="5"/>
      <c r="F389" s="5"/>
      <c r="G389" s="5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5"/>
      <c r="B390" s="5"/>
      <c r="C390" s="5"/>
      <c r="D390" s="5"/>
      <c r="E390" s="5"/>
      <c r="F390" s="5"/>
      <c r="G390" s="5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5"/>
      <c r="B391" s="5"/>
      <c r="C391" s="5"/>
      <c r="D391" s="5"/>
      <c r="E391" s="5"/>
      <c r="F391" s="5"/>
      <c r="G391" s="5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5"/>
      <c r="B392" s="5"/>
      <c r="C392" s="5"/>
      <c r="D392" s="5"/>
      <c r="E392" s="5"/>
      <c r="F392" s="5"/>
      <c r="G392" s="5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5"/>
      <c r="B393" s="5"/>
      <c r="C393" s="5"/>
      <c r="D393" s="5"/>
      <c r="E393" s="5"/>
      <c r="F393" s="5"/>
      <c r="G393" s="5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5"/>
      <c r="B394" s="5"/>
      <c r="C394" s="5"/>
      <c r="D394" s="5"/>
      <c r="E394" s="5"/>
      <c r="F394" s="5"/>
      <c r="G394" s="5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5"/>
      <c r="B395" s="5"/>
      <c r="C395" s="5"/>
      <c r="D395" s="5"/>
      <c r="E395" s="5"/>
      <c r="F395" s="5"/>
      <c r="G395" s="5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5"/>
      <c r="B396" s="5"/>
      <c r="C396" s="5"/>
      <c r="D396" s="5"/>
      <c r="E396" s="5"/>
      <c r="F396" s="5"/>
      <c r="G396" s="5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5"/>
      <c r="B397" s="5"/>
      <c r="C397" s="5"/>
      <c r="D397" s="5"/>
      <c r="E397" s="5"/>
      <c r="F397" s="5"/>
      <c r="G397" s="5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5"/>
      <c r="B398" s="5"/>
      <c r="C398" s="5"/>
      <c r="D398" s="5"/>
      <c r="E398" s="5"/>
      <c r="F398" s="5"/>
      <c r="G398" s="5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5"/>
      <c r="B399" s="5"/>
      <c r="C399" s="5"/>
      <c r="D399" s="5"/>
      <c r="E399" s="5"/>
      <c r="F399" s="5"/>
      <c r="G399" s="5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5"/>
      <c r="B400" s="5"/>
      <c r="C400" s="5"/>
      <c r="D400" s="5"/>
      <c r="E400" s="5"/>
      <c r="F400" s="5"/>
      <c r="G400" s="5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5"/>
      <c r="B401" s="5"/>
      <c r="C401" s="5"/>
      <c r="D401" s="5"/>
      <c r="E401" s="5"/>
      <c r="F401" s="5"/>
      <c r="G401" s="5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5"/>
      <c r="B402" s="5"/>
      <c r="C402" s="5"/>
      <c r="D402" s="5"/>
      <c r="E402" s="5"/>
      <c r="F402" s="5"/>
      <c r="G402" s="5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5"/>
      <c r="B403" s="5"/>
      <c r="C403" s="5"/>
      <c r="D403" s="5"/>
      <c r="E403" s="5"/>
      <c r="F403" s="5"/>
      <c r="G403" s="5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5"/>
      <c r="B404" s="5"/>
      <c r="C404" s="5"/>
      <c r="D404" s="5"/>
      <c r="E404" s="5"/>
      <c r="F404" s="5"/>
      <c r="G404" s="5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5"/>
      <c r="B405" s="5"/>
      <c r="C405" s="5"/>
      <c r="D405" s="5"/>
      <c r="E405" s="5"/>
      <c r="F405" s="5"/>
      <c r="G405" s="5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5"/>
      <c r="B406" s="5"/>
      <c r="C406" s="5"/>
      <c r="D406" s="5"/>
      <c r="E406" s="5"/>
      <c r="F406" s="5"/>
      <c r="G406" s="5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5"/>
      <c r="B407" s="5"/>
      <c r="C407" s="5"/>
      <c r="D407" s="5"/>
      <c r="E407" s="5"/>
      <c r="F407" s="5"/>
      <c r="G407" s="5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5"/>
      <c r="B408" s="5"/>
      <c r="C408" s="5"/>
      <c r="D408" s="5"/>
      <c r="E408" s="5"/>
      <c r="F408" s="5"/>
      <c r="G408" s="5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5"/>
      <c r="B409" s="5"/>
      <c r="C409" s="5"/>
      <c r="D409" s="5"/>
      <c r="E409" s="5"/>
      <c r="F409" s="5"/>
      <c r="G409" s="5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5"/>
      <c r="B410" s="5"/>
      <c r="C410" s="5"/>
      <c r="D410" s="5"/>
      <c r="E410" s="5"/>
      <c r="F410" s="5"/>
      <c r="G410" s="5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5"/>
      <c r="B411" s="5"/>
      <c r="C411" s="5"/>
      <c r="D411" s="5"/>
      <c r="E411" s="5"/>
      <c r="F411" s="5"/>
      <c r="G411" s="5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5"/>
      <c r="B412" s="5"/>
      <c r="C412" s="5"/>
      <c r="D412" s="5"/>
      <c r="E412" s="5"/>
      <c r="F412" s="5"/>
      <c r="G412" s="5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5"/>
      <c r="B413" s="5"/>
      <c r="C413" s="5"/>
      <c r="D413" s="5"/>
      <c r="E413" s="5"/>
      <c r="F413" s="5"/>
      <c r="G413" s="5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5"/>
      <c r="B414" s="5"/>
      <c r="C414" s="5"/>
      <c r="D414" s="5"/>
      <c r="E414" s="5"/>
      <c r="F414" s="5"/>
      <c r="G414" s="5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5"/>
      <c r="B415" s="5"/>
      <c r="C415" s="5"/>
      <c r="D415" s="5"/>
      <c r="E415" s="5"/>
      <c r="F415" s="5"/>
      <c r="G415" s="5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5"/>
      <c r="B416" s="5"/>
      <c r="C416" s="5"/>
      <c r="D416" s="5"/>
      <c r="E416" s="5"/>
      <c r="F416" s="5"/>
      <c r="G416" s="5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5"/>
      <c r="B417" s="5"/>
      <c r="C417" s="5"/>
      <c r="D417" s="5"/>
      <c r="E417" s="5"/>
      <c r="F417" s="5"/>
      <c r="G417" s="5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5"/>
      <c r="B418" s="5"/>
      <c r="C418" s="5"/>
      <c r="D418" s="5"/>
      <c r="E418" s="5"/>
      <c r="F418" s="5"/>
      <c r="G418" s="5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5"/>
      <c r="B419" s="5"/>
      <c r="C419" s="5"/>
      <c r="D419" s="5"/>
      <c r="E419" s="5"/>
      <c r="F419" s="5"/>
      <c r="G419" s="5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5"/>
      <c r="B420" s="5"/>
      <c r="C420" s="5"/>
      <c r="D420" s="5"/>
      <c r="E420" s="5"/>
      <c r="F420" s="5"/>
      <c r="G420" s="5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5"/>
      <c r="B421" s="5"/>
      <c r="C421" s="5"/>
      <c r="D421" s="5"/>
      <c r="E421" s="5"/>
      <c r="F421" s="5"/>
      <c r="G421" s="5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5"/>
      <c r="B422" s="5"/>
      <c r="C422" s="5"/>
      <c r="D422" s="5"/>
      <c r="E422" s="5"/>
      <c r="F422" s="5"/>
      <c r="G422" s="5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5"/>
      <c r="B423" s="5"/>
      <c r="C423" s="5"/>
      <c r="D423" s="5"/>
      <c r="E423" s="5"/>
      <c r="F423" s="5"/>
      <c r="G423" s="5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5"/>
      <c r="B424" s="5"/>
      <c r="C424" s="5"/>
      <c r="D424" s="5"/>
      <c r="E424" s="5"/>
      <c r="F424" s="5"/>
      <c r="G424" s="5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5"/>
      <c r="B425" s="5"/>
      <c r="C425" s="5"/>
      <c r="D425" s="5"/>
      <c r="E425" s="5"/>
      <c r="F425" s="5"/>
      <c r="G425" s="5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5"/>
      <c r="B426" s="5"/>
      <c r="C426" s="5"/>
      <c r="D426" s="5"/>
      <c r="E426" s="5"/>
      <c r="F426" s="5"/>
      <c r="G426" s="5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5"/>
      <c r="B427" s="5"/>
      <c r="C427" s="5"/>
      <c r="D427" s="5"/>
      <c r="E427" s="5"/>
      <c r="F427" s="5"/>
      <c r="G427" s="5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5"/>
      <c r="B428" s="5"/>
      <c r="C428" s="5"/>
      <c r="D428" s="5"/>
      <c r="E428" s="5"/>
      <c r="F428" s="5"/>
      <c r="G428" s="5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5"/>
      <c r="B429" s="5"/>
      <c r="C429" s="5"/>
      <c r="D429" s="5"/>
      <c r="E429" s="5"/>
      <c r="F429" s="5"/>
      <c r="G429" s="5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5"/>
      <c r="B430" s="5"/>
      <c r="C430" s="5"/>
      <c r="D430" s="5"/>
      <c r="E430" s="5"/>
      <c r="F430" s="5"/>
      <c r="G430" s="5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5"/>
      <c r="B431" s="5"/>
      <c r="C431" s="5"/>
      <c r="D431" s="5"/>
      <c r="E431" s="5"/>
      <c r="F431" s="5"/>
      <c r="G431" s="5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5"/>
      <c r="B432" s="5"/>
      <c r="C432" s="5"/>
      <c r="D432" s="5"/>
      <c r="E432" s="5"/>
      <c r="F432" s="5"/>
      <c r="G432" s="5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5"/>
      <c r="B433" s="5"/>
      <c r="C433" s="5"/>
      <c r="D433" s="5"/>
      <c r="E433" s="5"/>
      <c r="F433" s="5"/>
      <c r="G433" s="5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5"/>
      <c r="B434" s="5"/>
      <c r="C434" s="5"/>
      <c r="D434" s="5"/>
      <c r="E434" s="5"/>
      <c r="F434" s="5"/>
      <c r="G434" s="5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5"/>
      <c r="B435" s="5"/>
      <c r="C435" s="5"/>
      <c r="D435" s="5"/>
      <c r="E435" s="5"/>
      <c r="F435" s="5"/>
      <c r="G435" s="5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5"/>
      <c r="B436" s="5"/>
      <c r="C436" s="5"/>
      <c r="D436" s="5"/>
      <c r="E436" s="5"/>
      <c r="F436" s="5"/>
      <c r="G436" s="5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5"/>
      <c r="B437" s="5"/>
      <c r="C437" s="5"/>
      <c r="D437" s="5"/>
      <c r="E437" s="5"/>
      <c r="F437" s="5"/>
      <c r="G437" s="5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5"/>
      <c r="B438" s="5"/>
      <c r="C438" s="5"/>
      <c r="D438" s="5"/>
      <c r="E438" s="5"/>
      <c r="F438" s="5"/>
      <c r="G438" s="5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5"/>
      <c r="B439" s="5"/>
      <c r="C439" s="5"/>
      <c r="D439" s="5"/>
      <c r="E439" s="5"/>
      <c r="F439" s="5"/>
      <c r="G439" s="5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5"/>
      <c r="B440" s="5"/>
      <c r="C440" s="5"/>
      <c r="D440" s="5"/>
      <c r="E440" s="5"/>
      <c r="F440" s="5"/>
      <c r="G440" s="5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5"/>
      <c r="B441" s="5"/>
      <c r="C441" s="5"/>
      <c r="D441" s="5"/>
      <c r="E441" s="5"/>
      <c r="F441" s="5"/>
      <c r="G441" s="5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5"/>
      <c r="B442" s="5"/>
      <c r="C442" s="5"/>
      <c r="D442" s="5"/>
      <c r="E442" s="5"/>
      <c r="F442" s="5"/>
      <c r="G442" s="5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5"/>
      <c r="B443" s="5"/>
      <c r="C443" s="5"/>
      <c r="D443" s="5"/>
      <c r="E443" s="5"/>
      <c r="F443" s="5"/>
      <c r="G443" s="5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5"/>
      <c r="B444" s="5"/>
      <c r="C444" s="5"/>
      <c r="D444" s="5"/>
      <c r="E444" s="5"/>
      <c r="F444" s="5"/>
      <c r="G444" s="5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5"/>
      <c r="B445" s="5"/>
      <c r="C445" s="5"/>
      <c r="D445" s="5"/>
      <c r="E445" s="5"/>
      <c r="F445" s="5"/>
      <c r="G445" s="5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5"/>
      <c r="B446" s="5"/>
      <c r="C446" s="5"/>
      <c r="D446" s="5"/>
      <c r="E446" s="5"/>
      <c r="F446" s="5"/>
      <c r="G446" s="5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5"/>
      <c r="B447" s="5"/>
      <c r="C447" s="5"/>
      <c r="D447" s="5"/>
      <c r="E447" s="5"/>
      <c r="F447" s="5"/>
      <c r="G447" s="5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5"/>
      <c r="B448" s="5"/>
      <c r="C448" s="5"/>
      <c r="D448" s="5"/>
      <c r="E448" s="5"/>
      <c r="F448" s="5"/>
      <c r="G448" s="5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5"/>
      <c r="B449" s="5"/>
      <c r="C449" s="5"/>
      <c r="D449" s="5"/>
      <c r="E449" s="5"/>
      <c r="F449" s="5"/>
      <c r="G449" s="5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5"/>
      <c r="B450" s="5"/>
      <c r="C450" s="5"/>
      <c r="D450" s="5"/>
      <c r="E450" s="5"/>
      <c r="F450" s="5"/>
      <c r="G450" s="5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5"/>
      <c r="B451" s="5"/>
      <c r="C451" s="5"/>
      <c r="D451" s="5"/>
      <c r="E451" s="5"/>
      <c r="F451" s="5"/>
      <c r="G451" s="5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5"/>
      <c r="B452" s="5"/>
      <c r="C452" s="5"/>
      <c r="D452" s="5"/>
      <c r="E452" s="5"/>
      <c r="F452" s="5"/>
      <c r="G452" s="5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5"/>
      <c r="B453" s="5"/>
      <c r="C453" s="5"/>
      <c r="D453" s="5"/>
      <c r="E453" s="5"/>
      <c r="F453" s="5"/>
      <c r="G453" s="5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5"/>
      <c r="B454" s="5"/>
      <c r="C454" s="5"/>
      <c r="D454" s="5"/>
      <c r="E454" s="5"/>
      <c r="F454" s="5"/>
      <c r="G454" s="5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5"/>
      <c r="B455" s="5"/>
      <c r="C455" s="5"/>
      <c r="D455" s="5"/>
      <c r="E455" s="5"/>
      <c r="F455" s="5"/>
      <c r="G455" s="5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5"/>
      <c r="B456" s="5"/>
      <c r="C456" s="5"/>
      <c r="D456" s="5"/>
      <c r="E456" s="5"/>
      <c r="F456" s="5"/>
      <c r="G456" s="5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5"/>
      <c r="B457" s="5"/>
      <c r="C457" s="5"/>
      <c r="D457" s="5"/>
      <c r="E457" s="5"/>
      <c r="F457" s="5"/>
      <c r="G457" s="5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5"/>
      <c r="B458" s="5"/>
      <c r="C458" s="5"/>
      <c r="D458" s="5"/>
      <c r="E458" s="5"/>
      <c r="F458" s="5"/>
      <c r="G458" s="5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5"/>
      <c r="B459" s="5"/>
      <c r="C459" s="5"/>
      <c r="D459" s="5"/>
      <c r="E459" s="5"/>
      <c r="F459" s="5"/>
      <c r="G459" s="5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5"/>
      <c r="B460" s="5"/>
      <c r="C460" s="5"/>
      <c r="D460" s="5"/>
      <c r="E460" s="5"/>
      <c r="F460" s="5"/>
      <c r="G460" s="5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5"/>
      <c r="B461" s="5"/>
      <c r="C461" s="5"/>
      <c r="D461" s="5"/>
      <c r="E461" s="5"/>
      <c r="F461" s="5"/>
      <c r="G461" s="5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5"/>
      <c r="B462" s="5"/>
      <c r="C462" s="5"/>
      <c r="D462" s="5"/>
      <c r="E462" s="5"/>
      <c r="F462" s="5"/>
      <c r="G462" s="5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5"/>
      <c r="B463" s="5"/>
      <c r="C463" s="5"/>
      <c r="D463" s="5"/>
      <c r="E463" s="5"/>
      <c r="F463" s="5"/>
      <c r="G463" s="5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5"/>
      <c r="B464" s="5"/>
      <c r="C464" s="5"/>
      <c r="D464" s="5"/>
      <c r="E464" s="5"/>
      <c r="F464" s="5"/>
      <c r="G464" s="5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5"/>
      <c r="B465" s="5"/>
      <c r="C465" s="5"/>
      <c r="D465" s="5"/>
      <c r="E465" s="5"/>
      <c r="F465" s="5"/>
      <c r="G465" s="5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5"/>
      <c r="B466" s="5"/>
      <c r="C466" s="5"/>
      <c r="D466" s="5"/>
      <c r="E466" s="5"/>
      <c r="F466" s="5"/>
      <c r="G466" s="5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5"/>
      <c r="B467" s="5"/>
      <c r="C467" s="5"/>
      <c r="D467" s="5"/>
      <c r="E467" s="5"/>
      <c r="F467" s="5"/>
      <c r="G467" s="5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5"/>
      <c r="B468" s="5"/>
      <c r="C468" s="5"/>
      <c r="D468" s="5"/>
      <c r="E468" s="5"/>
      <c r="F468" s="5"/>
      <c r="G468" s="5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5"/>
      <c r="B469" s="5"/>
      <c r="C469" s="5"/>
      <c r="D469" s="5"/>
      <c r="E469" s="5"/>
      <c r="F469" s="5"/>
      <c r="G469" s="5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5"/>
      <c r="B470" s="5"/>
      <c r="C470" s="5"/>
      <c r="D470" s="5"/>
      <c r="E470" s="5"/>
      <c r="F470" s="5"/>
      <c r="G470" s="5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5"/>
      <c r="B471" s="5"/>
      <c r="C471" s="5"/>
      <c r="D471" s="5"/>
      <c r="E471" s="5"/>
      <c r="F471" s="5"/>
      <c r="G471" s="5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5"/>
      <c r="B472" s="5"/>
      <c r="C472" s="5"/>
      <c r="D472" s="5"/>
      <c r="E472" s="5"/>
      <c r="F472" s="5"/>
      <c r="G472" s="5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5"/>
      <c r="B473" s="5"/>
      <c r="C473" s="5"/>
      <c r="D473" s="5"/>
      <c r="E473" s="5"/>
      <c r="F473" s="5"/>
      <c r="G473" s="5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5"/>
      <c r="B474" s="5"/>
      <c r="C474" s="5"/>
      <c r="D474" s="5"/>
      <c r="E474" s="5"/>
      <c r="F474" s="5"/>
      <c r="G474" s="5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5"/>
      <c r="B475" s="5"/>
      <c r="C475" s="5"/>
      <c r="D475" s="5"/>
      <c r="E475" s="5"/>
      <c r="F475" s="5"/>
      <c r="G475" s="5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5"/>
      <c r="B476" s="5"/>
      <c r="C476" s="5"/>
      <c r="D476" s="5"/>
      <c r="E476" s="5"/>
      <c r="F476" s="5"/>
      <c r="G476" s="5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5"/>
      <c r="B477" s="5"/>
      <c r="C477" s="5"/>
      <c r="D477" s="5"/>
      <c r="E477" s="5"/>
      <c r="F477" s="5"/>
      <c r="G477" s="5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5"/>
      <c r="B478" s="5"/>
      <c r="C478" s="5"/>
      <c r="D478" s="5"/>
      <c r="E478" s="5"/>
      <c r="F478" s="5"/>
      <c r="G478" s="5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5"/>
      <c r="B479" s="5"/>
      <c r="C479" s="5"/>
      <c r="D479" s="5"/>
      <c r="E479" s="5"/>
      <c r="F479" s="5"/>
      <c r="G479" s="5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5"/>
      <c r="B480" s="5"/>
      <c r="C480" s="5"/>
      <c r="D480" s="5"/>
      <c r="E480" s="5"/>
      <c r="F480" s="5"/>
      <c r="G480" s="5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5"/>
      <c r="B481" s="5"/>
      <c r="C481" s="5"/>
      <c r="D481" s="5"/>
      <c r="E481" s="5"/>
      <c r="F481" s="5"/>
      <c r="G481" s="5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5"/>
      <c r="B482" s="5"/>
      <c r="C482" s="5"/>
      <c r="D482" s="5"/>
      <c r="E482" s="5"/>
      <c r="F482" s="5"/>
      <c r="G482" s="5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5"/>
      <c r="B483" s="5"/>
      <c r="C483" s="5"/>
      <c r="D483" s="5"/>
      <c r="E483" s="5"/>
      <c r="F483" s="5"/>
      <c r="G483" s="5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5"/>
      <c r="B484" s="5"/>
      <c r="C484" s="5"/>
      <c r="D484" s="5"/>
      <c r="E484" s="5"/>
      <c r="F484" s="5"/>
      <c r="G484" s="5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5"/>
      <c r="B485" s="5"/>
      <c r="C485" s="5"/>
      <c r="D485" s="5"/>
      <c r="E485" s="5"/>
      <c r="F485" s="5"/>
      <c r="G485" s="5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5"/>
      <c r="B486" s="5"/>
      <c r="C486" s="5"/>
      <c r="D486" s="5"/>
      <c r="E486" s="5"/>
      <c r="F486" s="5"/>
      <c r="G486" s="5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5"/>
      <c r="B487" s="5"/>
      <c r="C487" s="5"/>
      <c r="D487" s="5"/>
      <c r="E487" s="5"/>
      <c r="F487" s="5"/>
      <c r="G487" s="5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5"/>
      <c r="B488" s="5"/>
      <c r="C488" s="5"/>
      <c r="D488" s="5"/>
      <c r="E488" s="5"/>
      <c r="F488" s="5"/>
      <c r="G488" s="5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5"/>
      <c r="B489" s="5"/>
      <c r="C489" s="5"/>
      <c r="D489" s="5"/>
      <c r="E489" s="5"/>
      <c r="F489" s="5"/>
      <c r="G489" s="5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5"/>
      <c r="B490" s="5"/>
      <c r="C490" s="5"/>
      <c r="D490" s="5"/>
      <c r="E490" s="5"/>
      <c r="F490" s="5"/>
      <c r="G490" s="5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5"/>
      <c r="B491" s="5"/>
      <c r="C491" s="5"/>
      <c r="D491" s="5"/>
      <c r="E491" s="5"/>
      <c r="F491" s="5"/>
      <c r="G491" s="5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5"/>
      <c r="B492" s="5"/>
      <c r="C492" s="5"/>
      <c r="D492" s="5"/>
      <c r="E492" s="5"/>
      <c r="F492" s="5"/>
      <c r="G492" s="5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5"/>
      <c r="B493" s="5"/>
      <c r="C493" s="5"/>
      <c r="D493" s="5"/>
      <c r="E493" s="5"/>
      <c r="F493" s="5"/>
      <c r="G493" s="5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5"/>
      <c r="B494" s="5"/>
      <c r="C494" s="5"/>
      <c r="D494" s="5"/>
      <c r="E494" s="5"/>
      <c r="F494" s="5"/>
      <c r="G494" s="5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5"/>
      <c r="B495" s="5"/>
      <c r="C495" s="5"/>
      <c r="D495" s="5"/>
      <c r="E495" s="5"/>
      <c r="F495" s="5"/>
      <c r="G495" s="5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5"/>
      <c r="B496" s="5"/>
      <c r="C496" s="5"/>
      <c r="D496" s="5"/>
      <c r="E496" s="5"/>
      <c r="F496" s="5"/>
      <c r="G496" s="5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5"/>
      <c r="B497" s="5"/>
      <c r="C497" s="5"/>
      <c r="D497" s="5"/>
      <c r="E497" s="5"/>
      <c r="F497" s="5"/>
      <c r="G497" s="5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5"/>
      <c r="B498" s="5"/>
      <c r="C498" s="5"/>
      <c r="D498" s="5"/>
      <c r="E498" s="5"/>
      <c r="F498" s="5"/>
      <c r="G498" s="5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5"/>
      <c r="B499" s="5"/>
      <c r="C499" s="5"/>
      <c r="D499" s="5"/>
      <c r="E499" s="5"/>
      <c r="F499" s="5"/>
      <c r="G499" s="5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5"/>
      <c r="B500" s="5"/>
      <c r="C500" s="5"/>
      <c r="D500" s="5"/>
      <c r="E500" s="5"/>
      <c r="F500" s="5"/>
      <c r="G500" s="5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5"/>
      <c r="B501" s="5"/>
      <c r="C501" s="5"/>
      <c r="D501" s="5"/>
      <c r="E501" s="5"/>
      <c r="F501" s="5"/>
      <c r="G501" s="5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5"/>
      <c r="B502" s="5"/>
      <c r="C502" s="5"/>
      <c r="D502" s="5"/>
      <c r="E502" s="5"/>
      <c r="F502" s="5"/>
      <c r="G502" s="5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5"/>
      <c r="B503" s="5"/>
      <c r="C503" s="5"/>
      <c r="D503" s="5"/>
      <c r="E503" s="5"/>
      <c r="F503" s="5"/>
      <c r="G503" s="5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5"/>
      <c r="B504" s="5"/>
      <c r="C504" s="5"/>
      <c r="D504" s="5"/>
      <c r="E504" s="5"/>
      <c r="F504" s="5"/>
      <c r="G504" s="5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5"/>
      <c r="B505" s="5"/>
      <c r="C505" s="5"/>
      <c r="D505" s="5"/>
      <c r="E505" s="5"/>
      <c r="F505" s="5"/>
      <c r="G505" s="5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5"/>
      <c r="B506" s="5"/>
      <c r="C506" s="5"/>
      <c r="D506" s="5"/>
      <c r="E506" s="5"/>
      <c r="F506" s="5"/>
      <c r="G506" s="5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5"/>
      <c r="B507" s="5"/>
      <c r="C507" s="5"/>
      <c r="D507" s="5"/>
      <c r="E507" s="5"/>
      <c r="F507" s="5"/>
      <c r="G507" s="5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5"/>
      <c r="B508" s="5"/>
      <c r="C508" s="5"/>
      <c r="D508" s="5"/>
      <c r="E508" s="5"/>
      <c r="F508" s="5"/>
      <c r="G508" s="5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5"/>
      <c r="B509" s="5"/>
      <c r="C509" s="5"/>
      <c r="D509" s="5"/>
      <c r="E509" s="5"/>
      <c r="F509" s="5"/>
      <c r="G509" s="5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5"/>
      <c r="B510" s="5"/>
      <c r="C510" s="5"/>
      <c r="D510" s="5"/>
      <c r="E510" s="5"/>
      <c r="F510" s="5"/>
      <c r="G510" s="5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5"/>
      <c r="B511" s="5"/>
      <c r="C511" s="5"/>
      <c r="D511" s="5"/>
      <c r="E511" s="5"/>
      <c r="F511" s="5"/>
      <c r="G511" s="5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5"/>
      <c r="B512" s="5"/>
      <c r="C512" s="5"/>
      <c r="D512" s="5"/>
      <c r="E512" s="5"/>
      <c r="F512" s="5"/>
      <c r="G512" s="5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5"/>
      <c r="B513" s="5"/>
      <c r="C513" s="5"/>
      <c r="D513" s="5"/>
      <c r="E513" s="5"/>
      <c r="F513" s="5"/>
      <c r="G513" s="5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5"/>
      <c r="B514" s="5"/>
      <c r="C514" s="5"/>
      <c r="D514" s="5"/>
      <c r="E514" s="5"/>
      <c r="F514" s="5"/>
      <c r="G514" s="5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5"/>
      <c r="B515" s="5"/>
      <c r="C515" s="5"/>
      <c r="D515" s="5"/>
      <c r="E515" s="5"/>
      <c r="F515" s="5"/>
      <c r="G515" s="5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5"/>
      <c r="B516" s="5"/>
      <c r="C516" s="5"/>
      <c r="D516" s="5"/>
      <c r="E516" s="5"/>
      <c r="F516" s="5"/>
      <c r="G516" s="5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5"/>
      <c r="B517" s="5"/>
      <c r="C517" s="5"/>
      <c r="D517" s="5"/>
      <c r="E517" s="5"/>
      <c r="F517" s="5"/>
      <c r="G517" s="5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5"/>
      <c r="B518" s="5"/>
      <c r="C518" s="5"/>
      <c r="D518" s="5"/>
      <c r="E518" s="5"/>
      <c r="F518" s="5"/>
      <c r="G518" s="5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5"/>
      <c r="B519" s="5"/>
      <c r="C519" s="5"/>
      <c r="D519" s="5"/>
      <c r="E519" s="5"/>
      <c r="F519" s="5"/>
      <c r="G519" s="5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5"/>
      <c r="B520" s="5"/>
      <c r="C520" s="5"/>
      <c r="D520" s="5"/>
      <c r="E520" s="5"/>
      <c r="F520" s="5"/>
      <c r="G520" s="5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5"/>
      <c r="B521" s="5"/>
      <c r="C521" s="5"/>
      <c r="D521" s="5"/>
      <c r="E521" s="5"/>
      <c r="F521" s="5"/>
      <c r="G521" s="5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5"/>
      <c r="B522" s="5"/>
      <c r="C522" s="5"/>
      <c r="D522" s="5"/>
      <c r="E522" s="5"/>
      <c r="F522" s="5"/>
      <c r="G522" s="5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5"/>
      <c r="B523" s="5"/>
      <c r="C523" s="5"/>
      <c r="D523" s="5"/>
      <c r="E523" s="5"/>
      <c r="F523" s="5"/>
      <c r="G523" s="5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5"/>
      <c r="B524" s="5"/>
      <c r="C524" s="5"/>
      <c r="D524" s="5"/>
      <c r="E524" s="5"/>
      <c r="F524" s="5"/>
      <c r="G524" s="5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5"/>
      <c r="B525" s="5"/>
      <c r="C525" s="5"/>
      <c r="D525" s="5"/>
      <c r="E525" s="5"/>
      <c r="F525" s="5"/>
      <c r="G525" s="5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5"/>
      <c r="B526" s="5"/>
      <c r="C526" s="5"/>
      <c r="D526" s="5"/>
      <c r="E526" s="5"/>
      <c r="F526" s="5"/>
      <c r="G526" s="5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5"/>
      <c r="B527" s="5"/>
      <c r="C527" s="5"/>
      <c r="D527" s="5"/>
      <c r="E527" s="5"/>
      <c r="F527" s="5"/>
      <c r="G527" s="5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5"/>
      <c r="B528" s="5"/>
      <c r="C528" s="5"/>
      <c r="D528" s="5"/>
      <c r="E528" s="5"/>
      <c r="F528" s="5"/>
      <c r="G528" s="5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5"/>
      <c r="B529" s="5"/>
      <c r="C529" s="5"/>
      <c r="D529" s="5"/>
      <c r="E529" s="5"/>
      <c r="F529" s="5"/>
      <c r="G529" s="5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5"/>
      <c r="B530" s="5"/>
      <c r="C530" s="5"/>
      <c r="D530" s="5"/>
      <c r="E530" s="5"/>
      <c r="F530" s="5"/>
      <c r="G530" s="5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5"/>
      <c r="B531" s="5"/>
      <c r="C531" s="5"/>
      <c r="D531" s="5"/>
      <c r="E531" s="5"/>
      <c r="F531" s="5"/>
      <c r="G531" s="5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5"/>
      <c r="B532" s="5"/>
      <c r="C532" s="5"/>
      <c r="D532" s="5"/>
      <c r="E532" s="5"/>
      <c r="F532" s="5"/>
      <c r="G532" s="5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5"/>
      <c r="B533" s="5"/>
      <c r="C533" s="5"/>
      <c r="D533" s="5"/>
      <c r="E533" s="5"/>
      <c r="F533" s="5"/>
      <c r="G533" s="5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5"/>
      <c r="B534" s="5"/>
      <c r="C534" s="5"/>
      <c r="D534" s="5"/>
      <c r="E534" s="5"/>
      <c r="F534" s="5"/>
      <c r="G534" s="5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5"/>
      <c r="B535" s="5"/>
      <c r="C535" s="5"/>
      <c r="D535" s="5"/>
      <c r="E535" s="5"/>
      <c r="F535" s="5"/>
      <c r="G535" s="5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5"/>
      <c r="B536" s="5"/>
      <c r="C536" s="5"/>
      <c r="D536" s="5"/>
      <c r="E536" s="5"/>
      <c r="F536" s="5"/>
      <c r="G536" s="5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5"/>
      <c r="B537" s="5"/>
      <c r="C537" s="5"/>
      <c r="D537" s="5"/>
      <c r="E537" s="5"/>
      <c r="F537" s="5"/>
      <c r="G537" s="5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5"/>
      <c r="B538" s="5"/>
      <c r="C538" s="5"/>
      <c r="D538" s="5"/>
      <c r="E538" s="5"/>
      <c r="F538" s="5"/>
      <c r="G538" s="5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5"/>
      <c r="B539" s="5"/>
      <c r="C539" s="5"/>
      <c r="D539" s="5"/>
      <c r="E539" s="5"/>
      <c r="F539" s="5"/>
      <c r="G539" s="5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5"/>
      <c r="B540" s="5"/>
      <c r="C540" s="5"/>
      <c r="D540" s="5"/>
      <c r="E540" s="5"/>
      <c r="F540" s="5"/>
      <c r="G540" s="5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5"/>
      <c r="B541" s="5"/>
      <c r="C541" s="5"/>
      <c r="D541" s="5"/>
      <c r="E541" s="5"/>
      <c r="F541" s="5"/>
      <c r="G541" s="5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5"/>
      <c r="B542" s="5"/>
      <c r="C542" s="5"/>
      <c r="D542" s="5"/>
      <c r="E542" s="5"/>
      <c r="F542" s="5"/>
      <c r="G542" s="5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5"/>
      <c r="B543" s="5"/>
      <c r="C543" s="5"/>
      <c r="D543" s="5"/>
      <c r="E543" s="5"/>
      <c r="F543" s="5"/>
      <c r="G543" s="5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5"/>
      <c r="B544" s="5"/>
      <c r="C544" s="5"/>
      <c r="D544" s="5"/>
      <c r="E544" s="5"/>
      <c r="F544" s="5"/>
      <c r="G544" s="5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5"/>
      <c r="B545" s="5"/>
      <c r="C545" s="5"/>
      <c r="D545" s="5"/>
      <c r="E545" s="5"/>
      <c r="F545" s="5"/>
      <c r="G545" s="5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5"/>
      <c r="B546" s="5"/>
      <c r="C546" s="5"/>
      <c r="D546" s="5"/>
      <c r="E546" s="5"/>
      <c r="F546" s="5"/>
      <c r="G546" s="5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5"/>
      <c r="B547" s="5"/>
      <c r="C547" s="5"/>
      <c r="D547" s="5"/>
      <c r="E547" s="5"/>
      <c r="F547" s="5"/>
      <c r="G547" s="5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5"/>
      <c r="B548" s="5"/>
      <c r="C548" s="5"/>
      <c r="D548" s="5"/>
      <c r="E548" s="5"/>
      <c r="F548" s="5"/>
      <c r="G548" s="5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5"/>
      <c r="B549" s="5"/>
      <c r="C549" s="5"/>
      <c r="D549" s="5"/>
      <c r="E549" s="5"/>
      <c r="F549" s="5"/>
      <c r="G549" s="5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5"/>
      <c r="B550" s="5"/>
      <c r="C550" s="5"/>
      <c r="D550" s="5"/>
      <c r="E550" s="5"/>
      <c r="F550" s="5"/>
      <c r="G550" s="5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5"/>
      <c r="B551" s="5"/>
      <c r="C551" s="5"/>
      <c r="D551" s="5"/>
      <c r="E551" s="5"/>
      <c r="F551" s="5"/>
      <c r="G551" s="5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5"/>
      <c r="B552" s="5"/>
      <c r="C552" s="5"/>
      <c r="D552" s="5"/>
      <c r="E552" s="5"/>
      <c r="F552" s="5"/>
      <c r="G552" s="5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5"/>
      <c r="B553" s="5"/>
      <c r="C553" s="5"/>
      <c r="D553" s="5"/>
      <c r="E553" s="5"/>
      <c r="F553" s="5"/>
      <c r="G553" s="5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5"/>
      <c r="B554" s="5"/>
      <c r="C554" s="5"/>
      <c r="D554" s="5"/>
      <c r="E554" s="5"/>
      <c r="F554" s="5"/>
      <c r="G554" s="5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5"/>
      <c r="B555" s="5"/>
      <c r="C555" s="5"/>
      <c r="D555" s="5"/>
      <c r="E555" s="5"/>
      <c r="F555" s="5"/>
      <c r="G555" s="5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5"/>
      <c r="B556" s="5"/>
      <c r="C556" s="5"/>
      <c r="D556" s="5"/>
      <c r="E556" s="5"/>
      <c r="F556" s="5"/>
      <c r="G556" s="5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5"/>
      <c r="B557" s="5"/>
      <c r="C557" s="5"/>
      <c r="D557" s="5"/>
      <c r="E557" s="5"/>
      <c r="F557" s="5"/>
      <c r="G557" s="5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5"/>
      <c r="B558" s="5"/>
      <c r="C558" s="5"/>
      <c r="D558" s="5"/>
      <c r="E558" s="5"/>
      <c r="F558" s="5"/>
      <c r="G558" s="5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5"/>
      <c r="B559" s="5"/>
      <c r="C559" s="5"/>
      <c r="D559" s="5"/>
      <c r="E559" s="5"/>
      <c r="F559" s="5"/>
      <c r="G559" s="5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5"/>
      <c r="B560" s="5"/>
      <c r="C560" s="5"/>
      <c r="D560" s="5"/>
      <c r="E560" s="5"/>
      <c r="F560" s="5"/>
      <c r="G560" s="5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5"/>
      <c r="B561" s="5"/>
      <c r="C561" s="5"/>
      <c r="D561" s="5"/>
      <c r="E561" s="5"/>
      <c r="F561" s="5"/>
      <c r="G561" s="5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5"/>
      <c r="B562" s="5"/>
      <c r="C562" s="5"/>
      <c r="D562" s="5"/>
      <c r="E562" s="5"/>
      <c r="F562" s="5"/>
      <c r="G562" s="5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5"/>
      <c r="B563" s="5"/>
      <c r="C563" s="5"/>
      <c r="D563" s="5"/>
      <c r="E563" s="5"/>
      <c r="F563" s="5"/>
      <c r="G563" s="5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5"/>
      <c r="B564" s="5"/>
      <c r="C564" s="5"/>
      <c r="D564" s="5"/>
      <c r="E564" s="5"/>
      <c r="F564" s="5"/>
      <c r="G564" s="5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5"/>
      <c r="B565" s="5"/>
      <c r="C565" s="5"/>
      <c r="D565" s="5"/>
      <c r="E565" s="5"/>
      <c r="F565" s="5"/>
      <c r="G565" s="5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5"/>
      <c r="B566" s="5"/>
      <c r="C566" s="5"/>
      <c r="D566" s="5"/>
      <c r="E566" s="5"/>
      <c r="F566" s="5"/>
      <c r="G566" s="5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5"/>
      <c r="B567" s="5"/>
      <c r="C567" s="5"/>
      <c r="D567" s="5"/>
      <c r="E567" s="5"/>
      <c r="F567" s="5"/>
      <c r="G567" s="5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5"/>
      <c r="B568" s="5"/>
      <c r="C568" s="5"/>
      <c r="D568" s="5"/>
      <c r="E568" s="5"/>
      <c r="F568" s="5"/>
      <c r="G568" s="5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5"/>
      <c r="B569" s="5"/>
      <c r="C569" s="5"/>
      <c r="D569" s="5"/>
      <c r="E569" s="5"/>
      <c r="F569" s="5"/>
      <c r="G569" s="5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5"/>
      <c r="B570" s="5"/>
      <c r="C570" s="5"/>
      <c r="D570" s="5"/>
      <c r="E570" s="5"/>
      <c r="F570" s="5"/>
      <c r="G570" s="5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5"/>
      <c r="B571" s="5"/>
      <c r="C571" s="5"/>
      <c r="D571" s="5"/>
      <c r="E571" s="5"/>
      <c r="F571" s="5"/>
      <c r="G571" s="5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5"/>
      <c r="B572" s="5"/>
      <c r="C572" s="5"/>
      <c r="D572" s="5"/>
      <c r="E572" s="5"/>
      <c r="F572" s="5"/>
      <c r="G572" s="5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5"/>
      <c r="B573" s="5"/>
      <c r="C573" s="5"/>
      <c r="D573" s="5"/>
      <c r="E573" s="5"/>
      <c r="F573" s="5"/>
      <c r="G573" s="5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5"/>
      <c r="B574" s="5"/>
      <c r="C574" s="5"/>
      <c r="D574" s="5"/>
      <c r="E574" s="5"/>
      <c r="F574" s="5"/>
      <c r="G574" s="5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5"/>
      <c r="B575" s="5"/>
      <c r="C575" s="5"/>
      <c r="D575" s="5"/>
      <c r="E575" s="5"/>
      <c r="F575" s="5"/>
      <c r="G575" s="5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5"/>
      <c r="B576" s="5"/>
      <c r="C576" s="5"/>
      <c r="D576" s="5"/>
      <c r="E576" s="5"/>
      <c r="F576" s="5"/>
      <c r="G576" s="5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5"/>
      <c r="B577" s="5"/>
      <c r="C577" s="5"/>
      <c r="D577" s="5"/>
      <c r="E577" s="5"/>
      <c r="F577" s="5"/>
      <c r="G577" s="5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5"/>
      <c r="B578" s="5"/>
      <c r="C578" s="5"/>
      <c r="D578" s="5"/>
      <c r="E578" s="5"/>
      <c r="F578" s="5"/>
      <c r="G578" s="5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5"/>
      <c r="B579" s="5"/>
      <c r="C579" s="5"/>
      <c r="D579" s="5"/>
      <c r="E579" s="5"/>
      <c r="F579" s="5"/>
      <c r="G579" s="5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5"/>
      <c r="B580" s="5"/>
      <c r="C580" s="5"/>
      <c r="D580" s="5"/>
      <c r="E580" s="5"/>
      <c r="F580" s="5"/>
      <c r="G580" s="5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5"/>
      <c r="B581" s="5"/>
      <c r="C581" s="5"/>
      <c r="D581" s="5"/>
      <c r="E581" s="5"/>
      <c r="F581" s="5"/>
      <c r="G581" s="5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5"/>
      <c r="B582" s="5"/>
      <c r="C582" s="5"/>
      <c r="D582" s="5"/>
      <c r="E582" s="5"/>
      <c r="F582" s="5"/>
      <c r="G582" s="5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5"/>
      <c r="B583" s="5"/>
      <c r="C583" s="5"/>
      <c r="D583" s="5"/>
      <c r="E583" s="5"/>
      <c r="F583" s="5"/>
      <c r="G583" s="5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5"/>
      <c r="B584" s="5"/>
      <c r="C584" s="5"/>
      <c r="D584" s="5"/>
      <c r="E584" s="5"/>
      <c r="F584" s="5"/>
      <c r="G584" s="5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5"/>
      <c r="B585" s="5"/>
      <c r="C585" s="5"/>
      <c r="D585" s="5"/>
      <c r="E585" s="5"/>
      <c r="F585" s="5"/>
      <c r="G585" s="5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5"/>
      <c r="B586" s="5"/>
      <c r="C586" s="5"/>
      <c r="D586" s="5"/>
      <c r="E586" s="5"/>
      <c r="F586" s="5"/>
      <c r="G586" s="5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5"/>
      <c r="B587" s="5"/>
      <c r="C587" s="5"/>
      <c r="D587" s="5"/>
      <c r="E587" s="5"/>
      <c r="F587" s="5"/>
      <c r="G587" s="5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5"/>
      <c r="B588" s="5"/>
      <c r="C588" s="5"/>
      <c r="D588" s="5"/>
      <c r="E588" s="5"/>
      <c r="F588" s="5"/>
      <c r="G588" s="5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5"/>
      <c r="B589" s="5"/>
      <c r="C589" s="5"/>
      <c r="D589" s="5"/>
      <c r="E589" s="5"/>
      <c r="F589" s="5"/>
      <c r="G589" s="5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5"/>
      <c r="B590" s="5"/>
      <c r="C590" s="5"/>
      <c r="D590" s="5"/>
      <c r="E590" s="5"/>
      <c r="F590" s="5"/>
      <c r="G590" s="5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5"/>
      <c r="B591" s="5"/>
      <c r="C591" s="5"/>
      <c r="D591" s="5"/>
      <c r="E591" s="5"/>
      <c r="F591" s="5"/>
      <c r="G591" s="5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5"/>
      <c r="B592" s="5"/>
      <c r="C592" s="5"/>
      <c r="D592" s="5"/>
      <c r="E592" s="5"/>
      <c r="F592" s="5"/>
      <c r="G592" s="5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5"/>
      <c r="B593" s="5"/>
      <c r="C593" s="5"/>
      <c r="D593" s="5"/>
      <c r="E593" s="5"/>
      <c r="F593" s="5"/>
      <c r="G593" s="5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5"/>
      <c r="B594" s="5"/>
      <c r="C594" s="5"/>
      <c r="D594" s="5"/>
      <c r="E594" s="5"/>
      <c r="F594" s="5"/>
      <c r="G594" s="5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5"/>
      <c r="B595" s="5"/>
      <c r="C595" s="5"/>
      <c r="D595" s="5"/>
      <c r="E595" s="5"/>
      <c r="F595" s="5"/>
      <c r="G595" s="5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5"/>
      <c r="B596" s="5"/>
      <c r="C596" s="5"/>
      <c r="D596" s="5"/>
      <c r="E596" s="5"/>
      <c r="F596" s="5"/>
      <c r="G596" s="5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5"/>
      <c r="B597" s="5"/>
      <c r="C597" s="5"/>
      <c r="D597" s="5"/>
      <c r="E597" s="5"/>
      <c r="F597" s="5"/>
      <c r="G597" s="5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5"/>
      <c r="B598" s="5"/>
      <c r="C598" s="5"/>
      <c r="D598" s="5"/>
      <c r="E598" s="5"/>
      <c r="F598" s="5"/>
      <c r="G598" s="5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5"/>
      <c r="B599" s="5"/>
      <c r="C599" s="5"/>
      <c r="D599" s="5"/>
      <c r="E599" s="5"/>
      <c r="F599" s="5"/>
      <c r="G599" s="5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5"/>
      <c r="B600" s="5"/>
      <c r="C600" s="5"/>
      <c r="D600" s="5"/>
      <c r="E600" s="5"/>
      <c r="F600" s="5"/>
      <c r="G600" s="5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5"/>
      <c r="B601" s="5"/>
      <c r="C601" s="5"/>
      <c r="D601" s="5"/>
      <c r="E601" s="5"/>
      <c r="F601" s="5"/>
      <c r="G601" s="5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5"/>
      <c r="B602" s="5"/>
      <c r="C602" s="5"/>
      <c r="D602" s="5"/>
      <c r="E602" s="5"/>
      <c r="F602" s="5"/>
      <c r="G602" s="5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5"/>
      <c r="B603" s="5"/>
      <c r="C603" s="5"/>
      <c r="D603" s="5"/>
      <c r="E603" s="5"/>
      <c r="F603" s="5"/>
      <c r="G603" s="5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5"/>
      <c r="B604" s="5"/>
      <c r="C604" s="5"/>
      <c r="D604" s="5"/>
      <c r="E604" s="5"/>
      <c r="F604" s="5"/>
      <c r="G604" s="5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5"/>
      <c r="B605" s="5"/>
      <c r="C605" s="5"/>
      <c r="D605" s="5"/>
      <c r="E605" s="5"/>
      <c r="F605" s="5"/>
      <c r="G605" s="5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5"/>
      <c r="B606" s="5"/>
      <c r="C606" s="5"/>
      <c r="D606" s="5"/>
      <c r="E606" s="5"/>
      <c r="F606" s="5"/>
      <c r="G606" s="5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5"/>
      <c r="B607" s="5"/>
      <c r="C607" s="5"/>
      <c r="D607" s="5"/>
      <c r="E607" s="5"/>
      <c r="F607" s="5"/>
      <c r="G607" s="5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5"/>
      <c r="B608" s="5"/>
      <c r="C608" s="5"/>
      <c r="D608" s="5"/>
      <c r="E608" s="5"/>
      <c r="F608" s="5"/>
      <c r="G608" s="5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5"/>
      <c r="B609" s="5"/>
      <c r="C609" s="5"/>
      <c r="D609" s="5"/>
      <c r="E609" s="5"/>
      <c r="F609" s="5"/>
      <c r="G609" s="5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5"/>
      <c r="B610" s="5"/>
      <c r="C610" s="5"/>
      <c r="D610" s="5"/>
      <c r="E610" s="5"/>
      <c r="F610" s="5"/>
      <c r="G610" s="5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5"/>
      <c r="B611" s="5"/>
      <c r="C611" s="5"/>
      <c r="D611" s="5"/>
      <c r="E611" s="5"/>
      <c r="F611" s="5"/>
      <c r="G611" s="5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5"/>
      <c r="B612" s="5"/>
      <c r="C612" s="5"/>
      <c r="D612" s="5"/>
      <c r="E612" s="5"/>
      <c r="F612" s="5"/>
      <c r="G612" s="5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5"/>
      <c r="B613" s="5"/>
      <c r="C613" s="5"/>
      <c r="D613" s="5"/>
      <c r="E613" s="5"/>
      <c r="F613" s="5"/>
      <c r="G613" s="5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5"/>
      <c r="B614" s="5"/>
      <c r="C614" s="5"/>
      <c r="D614" s="5"/>
      <c r="E614" s="5"/>
      <c r="F614" s="5"/>
      <c r="G614" s="5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5"/>
      <c r="B615" s="5"/>
      <c r="C615" s="5"/>
      <c r="D615" s="5"/>
      <c r="E615" s="5"/>
      <c r="F615" s="5"/>
      <c r="G615" s="5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5"/>
      <c r="B616" s="5"/>
      <c r="C616" s="5"/>
      <c r="D616" s="5"/>
      <c r="E616" s="5"/>
      <c r="F616" s="5"/>
      <c r="G616" s="5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5"/>
      <c r="B617" s="5"/>
      <c r="C617" s="5"/>
      <c r="D617" s="5"/>
      <c r="E617" s="5"/>
      <c r="F617" s="5"/>
      <c r="G617" s="5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5"/>
      <c r="B618" s="5"/>
      <c r="C618" s="5"/>
      <c r="D618" s="5"/>
      <c r="E618" s="5"/>
      <c r="F618" s="5"/>
      <c r="G618" s="5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5"/>
      <c r="B619" s="5"/>
      <c r="C619" s="5"/>
      <c r="D619" s="5"/>
      <c r="E619" s="5"/>
      <c r="F619" s="5"/>
      <c r="G619" s="5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5"/>
      <c r="B620" s="5"/>
      <c r="C620" s="5"/>
      <c r="D620" s="5"/>
      <c r="E620" s="5"/>
      <c r="F620" s="5"/>
      <c r="G620" s="5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5"/>
      <c r="B621" s="5"/>
      <c r="C621" s="5"/>
      <c r="D621" s="5"/>
      <c r="E621" s="5"/>
      <c r="F621" s="5"/>
      <c r="G621" s="5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5"/>
      <c r="B622" s="5"/>
      <c r="C622" s="5"/>
      <c r="D622" s="5"/>
      <c r="E622" s="5"/>
      <c r="F622" s="5"/>
      <c r="G622" s="5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5"/>
      <c r="B623" s="5"/>
      <c r="C623" s="5"/>
      <c r="D623" s="5"/>
      <c r="E623" s="5"/>
      <c r="F623" s="5"/>
      <c r="G623" s="5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5"/>
      <c r="B624" s="5"/>
      <c r="C624" s="5"/>
      <c r="D624" s="5"/>
      <c r="E624" s="5"/>
      <c r="F624" s="5"/>
      <c r="G624" s="5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5"/>
      <c r="B625" s="5"/>
      <c r="C625" s="5"/>
      <c r="D625" s="5"/>
      <c r="E625" s="5"/>
      <c r="F625" s="5"/>
      <c r="G625" s="5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5"/>
      <c r="B626" s="5"/>
      <c r="C626" s="5"/>
      <c r="D626" s="5"/>
      <c r="E626" s="5"/>
      <c r="F626" s="5"/>
      <c r="G626" s="5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5"/>
      <c r="B627" s="5"/>
      <c r="C627" s="5"/>
      <c r="D627" s="5"/>
      <c r="E627" s="5"/>
      <c r="F627" s="5"/>
      <c r="G627" s="5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5"/>
      <c r="B628" s="5"/>
      <c r="C628" s="5"/>
      <c r="D628" s="5"/>
      <c r="E628" s="5"/>
      <c r="F628" s="5"/>
      <c r="G628" s="5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5"/>
      <c r="B629" s="5"/>
      <c r="C629" s="5"/>
      <c r="D629" s="5"/>
      <c r="E629" s="5"/>
      <c r="F629" s="5"/>
      <c r="G629" s="5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5"/>
      <c r="B630" s="5"/>
      <c r="C630" s="5"/>
      <c r="D630" s="5"/>
      <c r="E630" s="5"/>
      <c r="F630" s="5"/>
      <c r="G630" s="5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5"/>
      <c r="B631" s="5"/>
      <c r="C631" s="5"/>
      <c r="D631" s="5"/>
      <c r="E631" s="5"/>
      <c r="F631" s="5"/>
      <c r="G631" s="5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5"/>
      <c r="B632" s="5"/>
      <c r="C632" s="5"/>
      <c r="D632" s="5"/>
      <c r="E632" s="5"/>
      <c r="F632" s="5"/>
      <c r="G632" s="5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5"/>
      <c r="B633" s="5"/>
      <c r="C633" s="5"/>
      <c r="D633" s="5"/>
      <c r="E633" s="5"/>
      <c r="F633" s="5"/>
      <c r="G633" s="5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5"/>
      <c r="B634" s="5"/>
      <c r="C634" s="5"/>
      <c r="D634" s="5"/>
      <c r="E634" s="5"/>
      <c r="F634" s="5"/>
      <c r="G634" s="5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5"/>
      <c r="B635" s="5"/>
      <c r="C635" s="5"/>
      <c r="D635" s="5"/>
      <c r="E635" s="5"/>
      <c r="F635" s="5"/>
      <c r="G635" s="5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5"/>
      <c r="B636" s="5"/>
      <c r="C636" s="5"/>
      <c r="D636" s="5"/>
      <c r="E636" s="5"/>
      <c r="F636" s="5"/>
      <c r="G636" s="5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5"/>
      <c r="B637" s="5"/>
      <c r="C637" s="5"/>
      <c r="D637" s="5"/>
      <c r="E637" s="5"/>
      <c r="F637" s="5"/>
      <c r="G637" s="5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5"/>
      <c r="B638" s="5"/>
      <c r="C638" s="5"/>
      <c r="D638" s="5"/>
      <c r="E638" s="5"/>
      <c r="F638" s="5"/>
      <c r="G638" s="5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5"/>
      <c r="B639" s="5"/>
      <c r="C639" s="5"/>
      <c r="D639" s="5"/>
      <c r="E639" s="5"/>
      <c r="F639" s="5"/>
      <c r="G639" s="5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5"/>
      <c r="B640" s="5"/>
      <c r="C640" s="5"/>
      <c r="D640" s="5"/>
      <c r="E640" s="5"/>
      <c r="F640" s="5"/>
      <c r="G640" s="5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5"/>
      <c r="B641" s="5"/>
      <c r="C641" s="5"/>
      <c r="D641" s="5"/>
      <c r="E641" s="5"/>
      <c r="F641" s="5"/>
      <c r="G641" s="5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5"/>
      <c r="B642" s="5"/>
      <c r="C642" s="5"/>
      <c r="D642" s="5"/>
      <c r="E642" s="5"/>
      <c r="F642" s="5"/>
      <c r="G642" s="5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5"/>
      <c r="B643" s="5"/>
      <c r="C643" s="5"/>
      <c r="D643" s="5"/>
      <c r="E643" s="5"/>
      <c r="F643" s="5"/>
      <c r="G643" s="5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5"/>
      <c r="B644" s="5"/>
      <c r="C644" s="5"/>
      <c r="D644" s="5"/>
      <c r="E644" s="5"/>
      <c r="F644" s="5"/>
      <c r="G644" s="5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5"/>
      <c r="B645" s="5"/>
      <c r="C645" s="5"/>
      <c r="D645" s="5"/>
      <c r="E645" s="5"/>
      <c r="F645" s="5"/>
      <c r="G645" s="5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5"/>
      <c r="B646" s="5"/>
      <c r="C646" s="5"/>
      <c r="D646" s="5"/>
      <c r="E646" s="5"/>
      <c r="F646" s="5"/>
      <c r="G646" s="5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5"/>
      <c r="B647" s="5"/>
      <c r="C647" s="5"/>
      <c r="D647" s="5"/>
      <c r="E647" s="5"/>
      <c r="F647" s="5"/>
      <c r="G647" s="5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5"/>
      <c r="B648" s="5"/>
      <c r="C648" s="5"/>
      <c r="D648" s="5"/>
      <c r="E648" s="5"/>
      <c r="F648" s="5"/>
      <c r="G648" s="5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5"/>
      <c r="B649" s="5"/>
      <c r="C649" s="5"/>
      <c r="D649" s="5"/>
      <c r="E649" s="5"/>
      <c r="F649" s="5"/>
      <c r="G649" s="5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5"/>
      <c r="B650" s="5"/>
      <c r="C650" s="5"/>
      <c r="D650" s="5"/>
      <c r="E650" s="5"/>
      <c r="F650" s="5"/>
      <c r="G650" s="5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5"/>
      <c r="B651" s="5"/>
      <c r="C651" s="5"/>
      <c r="D651" s="5"/>
      <c r="E651" s="5"/>
      <c r="F651" s="5"/>
      <c r="G651" s="5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5"/>
      <c r="B652" s="5"/>
      <c r="C652" s="5"/>
      <c r="D652" s="5"/>
      <c r="E652" s="5"/>
      <c r="F652" s="5"/>
      <c r="G652" s="5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5"/>
      <c r="B653" s="5"/>
      <c r="C653" s="5"/>
      <c r="D653" s="5"/>
      <c r="E653" s="5"/>
      <c r="F653" s="5"/>
      <c r="G653" s="5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5"/>
      <c r="B654" s="5"/>
      <c r="C654" s="5"/>
      <c r="D654" s="5"/>
      <c r="E654" s="5"/>
      <c r="F654" s="5"/>
      <c r="G654" s="5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5"/>
      <c r="B655" s="5"/>
      <c r="C655" s="5"/>
      <c r="D655" s="5"/>
      <c r="E655" s="5"/>
      <c r="F655" s="5"/>
      <c r="G655" s="5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5"/>
      <c r="B656" s="5"/>
      <c r="C656" s="5"/>
      <c r="D656" s="5"/>
      <c r="E656" s="5"/>
      <c r="F656" s="5"/>
      <c r="G656" s="5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5"/>
      <c r="B657" s="5"/>
      <c r="C657" s="5"/>
      <c r="D657" s="5"/>
      <c r="E657" s="5"/>
      <c r="F657" s="5"/>
      <c r="G657" s="5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5"/>
      <c r="B658" s="5"/>
      <c r="C658" s="5"/>
      <c r="D658" s="5"/>
      <c r="E658" s="5"/>
      <c r="F658" s="5"/>
      <c r="G658" s="5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5"/>
      <c r="B659" s="5"/>
      <c r="C659" s="5"/>
      <c r="D659" s="5"/>
      <c r="E659" s="5"/>
      <c r="F659" s="5"/>
      <c r="G659" s="5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5"/>
      <c r="B660" s="5"/>
      <c r="C660" s="5"/>
      <c r="D660" s="5"/>
      <c r="E660" s="5"/>
      <c r="F660" s="5"/>
      <c r="G660" s="5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5"/>
      <c r="B661" s="5"/>
      <c r="C661" s="5"/>
      <c r="D661" s="5"/>
      <c r="E661" s="5"/>
      <c r="F661" s="5"/>
      <c r="G661" s="5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5"/>
      <c r="B662" s="5"/>
      <c r="C662" s="5"/>
      <c r="D662" s="5"/>
      <c r="E662" s="5"/>
      <c r="F662" s="5"/>
      <c r="G662" s="5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5"/>
      <c r="B663" s="5"/>
      <c r="C663" s="5"/>
      <c r="D663" s="5"/>
      <c r="E663" s="5"/>
      <c r="F663" s="5"/>
      <c r="G663" s="5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5"/>
      <c r="B664" s="5"/>
      <c r="C664" s="5"/>
      <c r="D664" s="5"/>
      <c r="E664" s="5"/>
      <c r="F664" s="5"/>
      <c r="G664" s="5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5"/>
      <c r="B665" s="5"/>
      <c r="C665" s="5"/>
      <c r="D665" s="5"/>
      <c r="E665" s="5"/>
      <c r="F665" s="5"/>
      <c r="G665" s="5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5"/>
      <c r="B666" s="5"/>
      <c r="C666" s="5"/>
      <c r="D666" s="5"/>
      <c r="E666" s="5"/>
      <c r="F666" s="5"/>
      <c r="G666" s="5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5"/>
      <c r="B667" s="5"/>
      <c r="C667" s="5"/>
      <c r="D667" s="5"/>
      <c r="E667" s="5"/>
      <c r="F667" s="5"/>
      <c r="G667" s="5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5"/>
      <c r="B668" s="5"/>
      <c r="C668" s="5"/>
      <c r="D668" s="5"/>
      <c r="E668" s="5"/>
      <c r="F668" s="5"/>
      <c r="G668" s="5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5"/>
      <c r="B669" s="5"/>
      <c r="C669" s="5"/>
      <c r="D669" s="5"/>
      <c r="E669" s="5"/>
      <c r="F669" s="5"/>
      <c r="G669" s="5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5"/>
      <c r="B670" s="5"/>
      <c r="C670" s="5"/>
      <c r="D670" s="5"/>
      <c r="E670" s="5"/>
      <c r="F670" s="5"/>
      <c r="G670" s="5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5"/>
      <c r="B671" s="5"/>
      <c r="C671" s="5"/>
      <c r="D671" s="5"/>
      <c r="E671" s="5"/>
      <c r="F671" s="5"/>
      <c r="G671" s="5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5"/>
      <c r="B672" s="5"/>
      <c r="C672" s="5"/>
      <c r="D672" s="5"/>
      <c r="E672" s="5"/>
      <c r="F672" s="5"/>
      <c r="G672" s="5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5"/>
      <c r="B673" s="5"/>
      <c r="C673" s="5"/>
      <c r="D673" s="5"/>
      <c r="E673" s="5"/>
      <c r="F673" s="5"/>
      <c r="G673" s="5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5"/>
      <c r="B674" s="5"/>
      <c r="C674" s="5"/>
      <c r="D674" s="5"/>
      <c r="E674" s="5"/>
      <c r="F674" s="5"/>
      <c r="G674" s="5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5"/>
      <c r="B675" s="5"/>
      <c r="C675" s="5"/>
      <c r="D675" s="5"/>
      <c r="E675" s="5"/>
      <c r="F675" s="5"/>
      <c r="G675" s="5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5"/>
      <c r="B676" s="5"/>
      <c r="C676" s="5"/>
      <c r="D676" s="5"/>
      <c r="E676" s="5"/>
      <c r="F676" s="5"/>
      <c r="G676" s="5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5"/>
      <c r="B677" s="5"/>
      <c r="C677" s="5"/>
      <c r="D677" s="5"/>
      <c r="E677" s="5"/>
      <c r="F677" s="5"/>
      <c r="G677" s="5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5"/>
      <c r="B678" s="5"/>
      <c r="C678" s="5"/>
      <c r="D678" s="5"/>
      <c r="E678" s="5"/>
      <c r="F678" s="5"/>
      <c r="G678" s="5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5"/>
      <c r="B679" s="5"/>
      <c r="C679" s="5"/>
      <c r="D679" s="5"/>
      <c r="E679" s="5"/>
      <c r="F679" s="5"/>
      <c r="G679" s="5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5"/>
      <c r="B680" s="5"/>
      <c r="C680" s="5"/>
      <c r="D680" s="5"/>
      <c r="E680" s="5"/>
      <c r="F680" s="5"/>
      <c r="G680" s="5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5"/>
      <c r="B681" s="5"/>
      <c r="C681" s="5"/>
      <c r="D681" s="5"/>
      <c r="E681" s="5"/>
      <c r="F681" s="5"/>
      <c r="G681" s="5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5"/>
      <c r="B682" s="5"/>
      <c r="C682" s="5"/>
      <c r="D682" s="5"/>
      <c r="E682" s="5"/>
      <c r="F682" s="5"/>
      <c r="G682" s="5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5"/>
      <c r="B683" s="5"/>
      <c r="C683" s="5"/>
      <c r="D683" s="5"/>
      <c r="E683" s="5"/>
      <c r="F683" s="5"/>
      <c r="G683" s="5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5"/>
      <c r="B684" s="5"/>
      <c r="C684" s="5"/>
      <c r="D684" s="5"/>
      <c r="E684" s="5"/>
      <c r="F684" s="5"/>
      <c r="G684" s="5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5"/>
      <c r="B685" s="5"/>
      <c r="C685" s="5"/>
      <c r="D685" s="5"/>
      <c r="E685" s="5"/>
      <c r="F685" s="5"/>
      <c r="G685" s="5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5"/>
      <c r="B686" s="5"/>
      <c r="C686" s="5"/>
      <c r="D686" s="5"/>
      <c r="E686" s="5"/>
      <c r="F686" s="5"/>
      <c r="G686" s="5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5"/>
      <c r="B687" s="5"/>
      <c r="C687" s="5"/>
      <c r="D687" s="5"/>
      <c r="E687" s="5"/>
      <c r="F687" s="5"/>
      <c r="G687" s="5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5"/>
      <c r="B688" s="5"/>
      <c r="C688" s="5"/>
      <c r="D688" s="5"/>
      <c r="E688" s="5"/>
      <c r="F688" s="5"/>
      <c r="G688" s="5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5"/>
      <c r="B689" s="5"/>
      <c r="C689" s="5"/>
      <c r="D689" s="5"/>
      <c r="E689" s="5"/>
      <c r="F689" s="5"/>
      <c r="G689" s="5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5"/>
      <c r="B690" s="5"/>
      <c r="C690" s="5"/>
      <c r="D690" s="5"/>
      <c r="E690" s="5"/>
      <c r="F690" s="5"/>
      <c r="G690" s="5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5"/>
      <c r="B691" s="5"/>
      <c r="C691" s="5"/>
      <c r="D691" s="5"/>
      <c r="E691" s="5"/>
      <c r="F691" s="5"/>
      <c r="G691" s="5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5"/>
      <c r="B692" s="5"/>
      <c r="C692" s="5"/>
      <c r="D692" s="5"/>
      <c r="E692" s="5"/>
      <c r="F692" s="5"/>
      <c r="G692" s="5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5"/>
      <c r="B693" s="5"/>
      <c r="C693" s="5"/>
      <c r="D693" s="5"/>
      <c r="E693" s="5"/>
      <c r="F693" s="5"/>
      <c r="G693" s="5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5"/>
      <c r="B694" s="5"/>
      <c r="C694" s="5"/>
      <c r="D694" s="5"/>
      <c r="E694" s="5"/>
      <c r="F694" s="5"/>
      <c r="G694" s="5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5"/>
      <c r="B695" s="5"/>
      <c r="C695" s="5"/>
      <c r="D695" s="5"/>
      <c r="E695" s="5"/>
      <c r="F695" s="5"/>
      <c r="G695" s="5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5"/>
      <c r="B696" s="5"/>
      <c r="C696" s="5"/>
      <c r="D696" s="5"/>
      <c r="E696" s="5"/>
      <c r="F696" s="5"/>
      <c r="G696" s="5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5"/>
      <c r="B697" s="5"/>
      <c r="C697" s="5"/>
      <c r="D697" s="5"/>
      <c r="E697" s="5"/>
      <c r="F697" s="5"/>
      <c r="G697" s="5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5"/>
      <c r="B698" s="5"/>
      <c r="C698" s="5"/>
      <c r="D698" s="5"/>
      <c r="E698" s="5"/>
      <c r="F698" s="5"/>
      <c r="G698" s="5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5"/>
      <c r="B699" s="5"/>
      <c r="C699" s="5"/>
      <c r="D699" s="5"/>
      <c r="E699" s="5"/>
      <c r="F699" s="5"/>
      <c r="G699" s="5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5"/>
      <c r="B700" s="5"/>
      <c r="C700" s="5"/>
      <c r="D700" s="5"/>
      <c r="E700" s="5"/>
      <c r="F700" s="5"/>
      <c r="G700" s="5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5"/>
      <c r="B701" s="5"/>
      <c r="C701" s="5"/>
      <c r="D701" s="5"/>
      <c r="E701" s="5"/>
      <c r="F701" s="5"/>
      <c r="G701" s="5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5"/>
      <c r="B702" s="5"/>
      <c r="C702" s="5"/>
      <c r="D702" s="5"/>
      <c r="E702" s="5"/>
      <c r="F702" s="5"/>
      <c r="G702" s="5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5"/>
      <c r="B703" s="5"/>
      <c r="C703" s="5"/>
      <c r="D703" s="5"/>
      <c r="E703" s="5"/>
      <c r="F703" s="5"/>
      <c r="G703" s="5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5"/>
      <c r="B704" s="5"/>
      <c r="C704" s="5"/>
      <c r="D704" s="5"/>
      <c r="E704" s="5"/>
      <c r="F704" s="5"/>
      <c r="G704" s="5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5"/>
      <c r="B705" s="5"/>
      <c r="C705" s="5"/>
      <c r="D705" s="5"/>
      <c r="E705" s="5"/>
      <c r="F705" s="5"/>
      <c r="G705" s="5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5"/>
      <c r="B706" s="5"/>
      <c r="C706" s="5"/>
      <c r="D706" s="5"/>
      <c r="E706" s="5"/>
      <c r="F706" s="5"/>
      <c r="G706" s="5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5"/>
      <c r="B707" s="5"/>
      <c r="C707" s="5"/>
      <c r="D707" s="5"/>
      <c r="E707" s="5"/>
      <c r="F707" s="5"/>
      <c r="G707" s="5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5"/>
      <c r="B708" s="5"/>
      <c r="C708" s="5"/>
      <c r="D708" s="5"/>
      <c r="E708" s="5"/>
      <c r="F708" s="5"/>
      <c r="G708" s="5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5"/>
      <c r="B709" s="5"/>
      <c r="C709" s="5"/>
      <c r="D709" s="5"/>
      <c r="E709" s="5"/>
      <c r="F709" s="5"/>
      <c r="G709" s="5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5"/>
      <c r="B710" s="5"/>
      <c r="C710" s="5"/>
      <c r="D710" s="5"/>
      <c r="E710" s="5"/>
      <c r="F710" s="5"/>
      <c r="G710" s="5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5"/>
      <c r="B711" s="5"/>
      <c r="C711" s="5"/>
      <c r="D711" s="5"/>
      <c r="E711" s="5"/>
      <c r="F711" s="5"/>
      <c r="G711" s="5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5"/>
      <c r="B712" s="5"/>
      <c r="C712" s="5"/>
      <c r="D712" s="5"/>
      <c r="E712" s="5"/>
      <c r="F712" s="5"/>
      <c r="G712" s="5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5"/>
      <c r="B713" s="5"/>
      <c r="C713" s="5"/>
      <c r="D713" s="5"/>
      <c r="E713" s="5"/>
      <c r="F713" s="5"/>
      <c r="G713" s="5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5"/>
      <c r="B714" s="5"/>
      <c r="C714" s="5"/>
      <c r="D714" s="5"/>
      <c r="E714" s="5"/>
      <c r="F714" s="5"/>
      <c r="G714" s="5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5"/>
      <c r="B715" s="5"/>
      <c r="C715" s="5"/>
      <c r="D715" s="5"/>
      <c r="E715" s="5"/>
      <c r="F715" s="5"/>
      <c r="G715" s="5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5"/>
      <c r="B716" s="5"/>
      <c r="C716" s="5"/>
      <c r="D716" s="5"/>
      <c r="E716" s="5"/>
      <c r="F716" s="5"/>
      <c r="G716" s="5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5"/>
      <c r="B717" s="5"/>
      <c r="C717" s="5"/>
      <c r="D717" s="5"/>
      <c r="E717" s="5"/>
      <c r="F717" s="5"/>
      <c r="G717" s="5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5"/>
      <c r="B718" s="5"/>
      <c r="C718" s="5"/>
      <c r="D718" s="5"/>
      <c r="E718" s="5"/>
      <c r="F718" s="5"/>
      <c r="G718" s="5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5"/>
      <c r="B719" s="5"/>
      <c r="C719" s="5"/>
      <c r="D719" s="5"/>
      <c r="E719" s="5"/>
      <c r="F719" s="5"/>
      <c r="G719" s="5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5"/>
      <c r="B720" s="5"/>
      <c r="C720" s="5"/>
      <c r="D720" s="5"/>
      <c r="E720" s="5"/>
      <c r="F720" s="5"/>
      <c r="G720" s="5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5"/>
      <c r="B721" s="5"/>
      <c r="C721" s="5"/>
      <c r="D721" s="5"/>
      <c r="E721" s="5"/>
      <c r="F721" s="5"/>
      <c r="G721" s="5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5"/>
      <c r="B722" s="5"/>
      <c r="C722" s="5"/>
      <c r="D722" s="5"/>
      <c r="E722" s="5"/>
      <c r="F722" s="5"/>
      <c r="G722" s="5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5"/>
      <c r="B723" s="5"/>
      <c r="C723" s="5"/>
      <c r="D723" s="5"/>
      <c r="E723" s="5"/>
      <c r="F723" s="5"/>
      <c r="G723" s="5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5"/>
      <c r="B724" s="5"/>
      <c r="C724" s="5"/>
      <c r="D724" s="5"/>
      <c r="E724" s="5"/>
      <c r="F724" s="5"/>
      <c r="G724" s="5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5"/>
      <c r="B725" s="5"/>
      <c r="C725" s="5"/>
      <c r="D725" s="5"/>
      <c r="E725" s="5"/>
      <c r="F725" s="5"/>
      <c r="G725" s="5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5"/>
      <c r="B726" s="5"/>
      <c r="C726" s="5"/>
      <c r="D726" s="5"/>
      <c r="E726" s="5"/>
      <c r="F726" s="5"/>
      <c r="G726" s="5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5"/>
      <c r="B727" s="5"/>
      <c r="C727" s="5"/>
      <c r="D727" s="5"/>
      <c r="E727" s="5"/>
      <c r="F727" s="5"/>
      <c r="G727" s="5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5"/>
      <c r="B728" s="5"/>
      <c r="C728" s="5"/>
      <c r="D728" s="5"/>
      <c r="E728" s="5"/>
      <c r="F728" s="5"/>
      <c r="G728" s="5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5"/>
      <c r="B729" s="5"/>
      <c r="C729" s="5"/>
      <c r="D729" s="5"/>
      <c r="E729" s="5"/>
      <c r="F729" s="5"/>
      <c r="G729" s="5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5"/>
      <c r="B730" s="5"/>
      <c r="C730" s="5"/>
      <c r="D730" s="5"/>
      <c r="E730" s="5"/>
      <c r="F730" s="5"/>
      <c r="G730" s="5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5"/>
      <c r="B731" s="5"/>
      <c r="C731" s="5"/>
      <c r="D731" s="5"/>
      <c r="E731" s="5"/>
      <c r="F731" s="5"/>
      <c r="G731" s="5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5"/>
      <c r="B732" s="5"/>
      <c r="C732" s="5"/>
      <c r="D732" s="5"/>
      <c r="E732" s="5"/>
      <c r="F732" s="5"/>
      <c r="G732" s="5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5"/>
      <c r="B733" s="5"/>
      <c r="C733" s="5"/>
      <c r="D733" s="5"/>
      <c r="E733" s="5"/>
      <c r="F733" s="5"/>
      <c r="G733" s="5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5"/>
      <c r="B734" s="5"/>
      <c r="C734" s="5"/>
      <c r="D734" s="5"/>
      <c r="E734" s="5"/>
      <c r="F734" s="5"/>
      <c r="G734" s="5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5"/>
      <c r="B735" s="5"/>
      <c r="C735" s="5"/>
      <c r="D735" s="5"/>
      <c r="E735" s="5"/>
      <c r="F735" s="5"/>
      <c r="G735" s="5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5"/>
      <c r="B736" s="5"/>
      <c r="C736" s="5"/>
      <c r="D736" s="5"/>
      <c r="E736" s="5"/>
      <c r="F736" s="5"/>
      <c r="G736" s="5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5"/>
      <c r="B737" s="5"/>
      <c r="C737" s="5"/>
      <c r="D737" s="5"/>
      <c r="E737" s="5"/>
      <c r="F737" s="5"/>
      <c r="G737" s="5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5"/>
      <c r="B738" s="5"/>
      <c r="C738" s="5"/>
      <c r="D738" s="5"/>
      <c r="E738" s="5"/>
      <c r="F738" s="5"/>
      <c r="G738" s="5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5"/>
      <c r="B739" s="5"/>
      <c r="C739" s="5"/>
      <c r="D739" s="5"/>
      <c r="E739" s="5"/>
      <c r="F739" s="5"/>
      <c r="G739" s="5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5"/>
      <c r="B740" s="5"/>
      <c r="C740" s="5"/>
      <c r="D740" s="5"/>
      <c r="E740" s="5"/>
      <c r="F740" s="5"/>
      <c r="G740" s="5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5"/>
      <c r="B741" s="5"/>
      <c r="C741" s="5"/>
      <c r="D741" s="5"/>
      <c r="E741" s="5"/>
      <c r="F741" s="5"/>
      <c r="G741" s="5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5"/>
      <c r="B742" s="5"/>
      <c r="C742" s="5"/>
      <c r="D742" s="5"/>
      <c r="E742" s="5"/>
      <c r="F742" s="5"/>
      <c r="G742" s="5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5"/>
      <c r="B743" s="5"/>
      <c r="C743" s="5"/>
      <c r="D743" s="5"/>
      <c r="E743" s="5"/>
      <c r="F743" s="5"/>
      <c r="G743" s="5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5"/>
      <c r="B744" s="5"/>
      <c r="C744" s="5"/>
      <c r="D744" s="5"/>
      <c r="E744" s="5"/>
      <c r="F744" s="5"/>
      <c r="G744" s="5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5"/>
      <c r="B745" s="5"/>
      <c r="C745" s="5"/>
      <c r="D745" s="5"/>
      <c r="E745" s="5"/>
      <c r="F745" s="5"/>
      <c r="G745" s="5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5"/>
      <c r="B746" s="5"/>
      <c r="C746" s="5"/>
      <c r="D746" s="5"/>
      <c r="E746" s="5"/>
      <c r="F746" s="5"/>
      <c r="G746" s="5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5"/>
      <c r="B747" s="5"/>
      <c r="C747" s="5"/>
      <c r="D747" s="5"/>
      <c r="E747" s="5"/>
      <c r="F747" s="5"/>
      <c r="G747" s="5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5"/>
      <c r="B748" s="5"/>
      <c r="C748" s="5"/>
      <c r="D748" s="5"/>
      <c r="E748" s="5"/>
      <c r="F748" s="5"/>
      <c r="G748" s="5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5"/>
      <c r="B749" s="5"/>
      <c r="C749" s="5"/>
      <c r="D749" s="5"/>
      <c r="E749" s="5"/>
      <c r="F749" s="5"/>
      <c r="G749" s="5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5"/>
      <c r="B750" s="5"/>
      <c r="C750" s="5"/>
      <c r="D750" s="5"/>
      <c r="E750" s="5"/>
      <c r="F750" s="5"/>
      <c r="G750" s="5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5"/>
      <c r="B751" s="5"/>
      <c r="C751" s="5"/>
      <c r="D751" s="5"/>
      <c r="E751" s="5"/>
      <c r="F751" s="5"/>
      <c r="G751" s="5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5"/>
      <c r="B752" s="5"/>
      <c r="C752" s="5"/>
      <c r="D752" s="5"/>
      <c r="E752" s="5"/>
      <c r="F752" s="5"/>
      <c r="G752" s="5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5"/>
      <c r="B753" s="5"/>
      <c r="C753" s="5"/>
      <c r="D753" s="5"/>
      <c r="E753" s="5"/>
      <c r="F753" s="5"/>
      <c r="G753" s="5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5"/>
      <c r="B754" s="5"/>
      <c r="C754" s="5"/>
      <c r="D754" s="5"/>
      <c r="E754" s="5"/>
      <c r="F754" s="5"/>
      <c r="G754" s="5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5"/>
      <c r="B755" s="5"/>
      <c r="C755" s="5"/>
      <c r="D755" s="5"/>
      <c r="E755" s="5"/>
      <c r="F755" s="5"/>
      <c r="G755" s="5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5"/>
      <c r="B756" s="5"/>
      <c r="C756" s="5"/>
      <c r="D756" s="5"/>
      <c r="E756" s="5"/>
      <c r="F756" s="5"/>
      <c r="G756" s="5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5"/>
      <c r="B757" s="5"/>
      <c r="C757" s="5"/>
      <c r="D757" s="5"/>
      <c r="E757" s="5"/>
      <c r="F757" s="5"/>
      <c r="G757" s="5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5"/>
      <c r="B758" s="5"/>
      <c r="C758" s="5"/>
      <c r="D758" s="5"/>
      <c r="E758" s="5"/>
      <c r="F758" s="5"/>
      <c r="G758" s="5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5"/>
      <c r="B759" s="5"/>
      <c r="C759" s="5"/>
      <c r="D759" s="5"/>
      <c r="E759" s="5"/>
      <c r="F759" s="5"/>
      <c r="G759" s="5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5"/>
      <c r="B760" s="5"/>
      <c r="C760" s="5"/>
      <c r="D760" s="5"/>
      <c r="E760" s="5"/>
      <c r="F760" s="5"/>
      <c r="G760" s="5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5"/>
      <c r="B761" s="5"/>
      <c r="C761" s="5"/>
      <c r="D761" s="5"/>
      <c r="E761" s="5"/>
      <c r="F761" s="5"/>
      <c r="G761" s="5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5"/>
      <c r="B762" s="5"/>
      <c r="C762" s="5"/>
      <c r="D762" s="5"/>
      <c r="E762" s="5"/>
      <c r="F762" s="5"/>
      <c r="G762" s="5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5"/>
      <c r="B763" s="5"/>
      <c r="C763" s="5"/>
      <c r="D763" s="5"/>
      <c r="E763" s="5"/>
      <c r="F763" s="5"/>
      <c r="G763" s="5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5"/>
      <c r="B764" s="5"/>
      <c r="C764" s="5"/>
      <c r="D764" s="5"/>
      <c r="E764" s="5"/>
      <c r="F764" s="5"/>
      <c r="G764" s="5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5"/>
      <c r="B765" s="5"/>
      <c r="C765" s="5"/>
      <c r="D765" s="5"/>
      <c r="E765" s="5"/>
      <c r="F765" s="5"/>
      <c r="G765" s="5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5"/>
      <c r="B766" s="5"/>
      <c r="C766" s="5"/>
      <c r="D766" s="5"/>
      <c r="E766" s="5"/>
      <c r="F766" s="5"/>
      <c r="G766" s="5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5"/>
      <c r="B767" s="5"/>
      <c r="C767" s="5"/>
      <c r="D767" s="5"/>
      <c r="E767" s="5"/>
      <c r="F767" s="5"/>
      <c r="G767" s="5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5"/>
      <c r="B768" s="5"/>
      <c r="C768" s="5"/>
      <c r="D768" s="5"/>
      <c r="E768" s="5"/>
      <c r="F768" s="5"/>
      <c r="G768" s="5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5"/>
      <c r="B769" s="5"/>
      <c r="C769" s="5"/>
      <c r="D769" s="5"/>
      <c r="E769" s="5"/>
      <c r="F769" s="5"/>
      <c r="G769" s="5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5"/>
      <c r="B770" s="5"/>
      <c r="C770" s="5"/>
      <c r="D770" s="5"/>
      <c r="E770" s="5"/>
      <c r="F770" s="5"/>
      <c r="G770" s="5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5"/>
      <c r="B771" s="5"/>
      <c r="C771" s="5"/>
      <c r="D771" s="5"/>
      <c r="E771" s="5"/>
      <c r="F771" s="5"/>
      <c r="G771" s="5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5"/>
      <c r="B772" s="5"/>
      <c r="C772" s="5"/>
      <c r="D772" s="5"/>
      <c r="E772" s="5"/>
      <c r="F772" s="5"/>
      <c r="G772" s="5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5"/>
      <c r="B773" s="5"/>
      <c r="C773" s="5"/>
      <c r="D773" s="5"/>
      <c r="E773" s="5"/>
      <c r="F773" s="5"/>
      <c r="G773" s="5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5"/>
      <c r="B774" s="5"/>
      <c r="C774" s="5"/>
      <c r="D774" s="5"/>
      <c r="E774" s="5"/>
      <c r="F774" s="5"/>
      <c r="G774" s="5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5"/>
      <c r="B775" s="5"/>
      <c r="C775" s="5"/>
      <c r="D775" s="5"/>
      <c r="E775" s="5"/>
      <c r="F775" s="5"/>
      <c r="G775" s="5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5"/>
      <c r="B776" s="5"/>
      <c r="C776" s="5"/>
      <c r="D776" s="5"/>
      <c r="E776" s="5"/>
      <c r="F776" s="5"/>
      <c r="G776" s="5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5"/>
      <c r="B777" s="5"/>
      <c r="C777" s="5"/>
      <c r="D777" s="5"/>
      <c r="E777" s="5"/>
      <c r="F777" s="5"/>
      <c r="G777" s="5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5"/>
      <c r="B778" s="5"/>
      <c r="C778" s="5"/>
      <c r="D778" s="5"/>
      <c r="E778" s="5"/>
      <c r="F778" s="5"/>
      <c r="G778" s="5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5"/>
      <c r="B779" s="5"/>
      <c r="C779" s="5"/>
      <c r="D779" s="5"/>
      <c r="E779" s="5"/>
      <c r="F779" s="5"/>
      <c r="G779" s="5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5"/>
      <c r="B780" s="5"/>
      <c r="C780" s="5"/>
      <c r="D780" s="5"/>
      <c r="E780" s="5"/>
      <c r="F780" s="5"/>
      <c r="G780" s="5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5"/>
      <c r="B781" s="5"/>
      <c r="C781" s="5"/>
      <c r="D781" s="5"/>
      <c r="E781" s="5"/>
      <c r="F781" s="5"/>
      <c r="G781" s="5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5"/>
      <c r="B782" s="5"/>
      <c r="C782" s="5"/>
      <c r="D782" s="5"/>
      <c r="E782" s="5"/>
      <c r="F782" s="5"/>
      <c r="G782" s="5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5"/>
      <c r="B783" s="5"/>
      <c r="C783" s="5"/>
      <c r="D783" s="5"/>
      <c r="E783" s="5"/>
      <c r="F783" s="5"/>
      <c r="G783" s="5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5"/>
      <c r="B784" s="5"/>
      <c r="C784" s="5"/>
      <c r="D784" s="5"/>
      <c r="E784" s="5"/>
      <c r="F784" s="5"/>
      <c r="G784" s="5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5"/>
      <c r="B785" s="5"/>
      <c r="C785" s="5"/>
      <c r="D785" s="5"/>
      <c r="E785" s="5"/>
      <c r="F785" s="5"/>
      <c r="G785" s="5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5"/>
      <c r="B786" s="5"/>
      <c r="C786" s="5"/>
      <c r="D786" s="5"/>
      <c r="E786" s="5"/>
      <c r="F786" s="5"/>
      <c r="G786" s="5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5"/>
      <c r="B787" s="5"/>
      <c r="C787" s="5"/>
      <c r="D787" s="5"/>
      <c r="E787" s="5"/>
      <c r="F787" s="5"/>
      <c r="G787" s="5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5"/>
      <c r="B788" s="5"/>
      <c r="C788" s="5"/>
      <c r="D788" s="5"/>
      <c r="E788" s="5"/>
      <c r="F788" s="5"/>
      <c r="G788" s="5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5"/>
      <c r="B789" s="5"/>
      <c r="C789" s="5"/>
      <c r="D789" s="5"/>
      <c r="E789" s="5"/>
      <c r="F789" s="5"/>
      <c r="G789" s="5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5"/>
      <c r="B790" s="5"/>
      <c r="C790" s="5"/>
      <c r="D790" s="5"/>
      <c r="E790" s="5"/>
      <c r="F790" s="5"/>
      <c r="G790" s="5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5"/>
      <c r="B791" s="5"/>
      <c r="C791" s="5"/>
      <c r="D791" s="5"/>
      <c r="E791" s="5"/>
      <c r="F791" s="5"/>
      <c r="G791" s="5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5"/>
      <c r="B792" s="5"/>
      <c r="C792" s="5"/>
      <c r="D792" s="5"/>
      <c r="E792" s="5"/>
      <c r="F792" s="5"/>
      <c r="G792" s="5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5"/>
      <c r="B793" s="5"/>
      <c r="C793" s="5"/>
      <c r="D793" s="5"/>
      <c r="E793" s="5"/>
      <c r="F793" s="5"/>
      <c r="G793" s="5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5"/>
      <c r="B794" s="5"/>
      <c r="C794" s="5"/>
      <c r="D794" s="5"/>
      <c r="E794" s="5"/>
      <c r="F794" s="5"/>
      <c r="G794" s="5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5"/>
      <c r="B795" s="5"/>
      <c r="C795" s="5"/>
      <c r="D795" s="5"/>
      <c r="E795" s="5"/>
      <c r="F795" s="5"/>
      <c r="G795" s="5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5"/>
      <c r="B796" s="5"/>
      <c r="C796" s="5"/>
      <c r="D796" s="5"/>
      <c r="E796" s="5"/>
      <c r="F796" s="5"/>
      <c r="G796" s="5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5"/>
      <c r="B797" s="5"/>
      <c r="C797" s="5"/>
      <c r="D797" s="5"/>
      <c r="E797" s="5"/>
      <c r="F797" s="5"/>
      <c r="G797" s="5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5"/>
      <c r="B798" s="5"/>
      <c r="C798" s="5"/>
      <c r="D798" s="5"/>
      <c r="E798" s="5"/>
      <c r="F798" s="5"/>
      <c r="G798" s="5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5"/>
      <c r="B799" s="5"/>
      <c r="C799" s="5"/>
      <c r="D799" s="5"/>
      <c r="E799" s="5"/>
      <c r="F799" s="5"/>
      <c r="G799" s="5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5"/>
      <c r="B800" s="5"/>
      <c r="C800" s="5"/>
      <c r="D800" s="5"/>
      <c r="E800" s="5"/>
      <c r="F800" s="5"/>
      <c r="G800" s="5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5"/>
      <c r="B801" s="5"/>
      <c r="C801" s="5"/>
      <c r="D801" s="5"/>
      <c r="E801" s="5"/>
      <c r="F801" s="5"/>
      <c r="G801" s="5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5"/>
      <c r="B802" s="5"/>
      <c r="C802" s="5"/>
      <c r="D802" s="5"/>
      <c r="E802" s="5"/>
      <c r="F802" s="5"/>
      <c r="G802" s="5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5"/>
      <c r="B803" s="5"/>
      <c r="C803" s="5"/>
      <c r="D803" s="5"/>
      <c r="E803" s="5"/>
      <c r="F803" s="5"/>
      <c r="G803" s="5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5"/>
      <c r="B804" s="5"/>
      <c r="C804" s="5"/>
      <c r="D804" s="5"/>
      <c r="E804" s="5"/>
      <c r="F804" s="5"/>
      <c r="G804" s="5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5"/>
      <c r="B805" s="5"/>
      <c r="C805" s="5"/>
      <c r="D805" s="5"/>
      <c r="E805" s="5"/>
      <c r="F805" s="5"/>
      <c r="G805" s="5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5"/>
      <c r="B806" s="5"/>
      <c r="C806" s="5"/>
      <c r="D806" s="5"/>
      <c r="E806" s="5"/>
      <c r="F806" s="5"/>
      <c r="G806" s="5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5"/>
      <c r="B807" s="5"/>
      <c r="C807" s="5"/>
      <c r="D807" s="5"/>
      <c r="E807" s="5"/>
      <c r="F807" s="5"/>
      <c r="G807" s="5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5"/>
      <c r="B808" s="5"/>
      <c r="C808" s="5"/>
      <c r="D808" s="5"/>
      <c r="E808" s="5"/>
      <c r="F808" s="5"/>
      <c r="G808" s="5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5"/>
      <c r="B809" s="5"/>
      <c r="C809" s="5"/>
      <c r="D809" s="5"/>
      <c r="E809" s="5"/>
      <c r="F809" s="5"/>
      <c r="G809" s="5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5"/>
      <c r="B810" s="5"/>
      <c r="C810" s="5"/>
      <c r="D810" s="5"/>
      <c r="E810" s="5"/>
      <c r="F810" s="5"/>
      <c r="G810" s="5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5"/>
      <c r="B811" s="5"/>
      <c r="C811" s="5"/>
      <c r="D811" s="5"/>
      <c r="E811" s="5"/>
      <c r="F811" s="5"/>
      <c r="G811" s="5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5"/>
      <c r="B812" s="5"/>
      <c r="C812" s="5"/>
      <c r="D812" s="5"/>
      <c r="E812" s="5"/>
      <c r="F812" s="5"/>
      <c r="G812" s="5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5"/>
      <c r="B813" s="5"/>
      <c r="C813" s="5"/>
      <c r="D813" s="5"/>
      <c r="E813" s="5"/>
      <c r="F813" s="5"/>
      <c r="G813" s="5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5"/>
      <c r="B814" s="5"/>
      <c r="C814" s="5"/>
      <c r="D814" s="5"/>
      <c r="E814" s="5"/>
      <c r="F814" s="5"/>
      <c r="G814" s="5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5"/>
      <c r="B815" s="5"/>
      <c r="C815" s="5"/>
      <c r="D815" s="5"/>
      <c r="E815" s="5"/>
      <c r="F815" s="5"/>
      <c r="G815" s="5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5"/>
      <c r="B816" s="5"/>
      <c r="C816" s="5"/>
      <c r="D816" s="5"/>
      <c r="E816" s="5"/>
      <c r="F816" s="5"/>
      <c r="G816" s="5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5"/>
      <c r="B817" s="5"/>
      <c r="C817" s="5"/>
      <c r="D817" s="5"/>
      <c r="E817" s="5"/>
      <c r="F817" s="5"/>
      <c r="G817" s="5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5"/>
      <c r="B818" s="5"/>
      <c r="C818" s="5"/>
      <c r="D818" s="5"/>
      <c r="E818" s="5"/>
      <c r="F818" s="5"/>
      <c r="G818" s="5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5"/>
      <c r="B819" s="5"/>
      <c r="C819" s="5"/>
      <c r="D819" s="5"/>
      <c r="E819" s="5"/>
      <c r="F819" s="5"/>
      <c r="G819" s="5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5"/>
      <c r="B820" s="5"/>
      <c r="C820" s="5"/>
      <c r="D820" s="5"/>
      <c r="E820" s="5"/>
      <c r="F820" s="5"/>
      <c r="G820" s="5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5"/>
      <c r="B821" s="5"/>
      <c r="C821" s="5"/>
      <c r="D821" s="5"/>
      <c r="E821" s="5"/>
      <c r="F821" s="5"/>
      <c r="G821" s="5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5"/>
      <c r="B822" s="5"/>
      <c r="C822" s="5"/>
      <c r="D822" s="5"/>
      <c r="E822" s="5"/>
      <c r="F822" s="5"/>
      <c r="G822" s="5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5"/>
      <c r="B823" s="5"/>
      <c r="C823" s="5"/>
      <c r="D823" s="5"/>
      <c r="E823" s="5"/>
      <c r="F823" s="5"/>
      <c r="G823" s="5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5"/>
      <c r="B824" s="5"/>
      <c r="C824" s="5"/>
      <c r="D824" s="5"/>
      <c r="E824" s="5"/>
      <c r="F824" s="5"/>
      <c r="G824" s="5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5"/>
      <c r="B825" s="5"/>
      <c r="C825" s="5"/>
      <c r="D825" s="5"/>
      <c r="E825" s="5"/>
      <c r="F825" s="5"/>
      <c r="G825" s="5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5"/>
      <c r="B826" s="5"/>
      <c r="C826" s="5"/>
      <c r="D826" s="5"/>
      <c r="E826" s="5"/>
      <c r="F826" s="5"/>
      <c r="G826" s="5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5"/>
      <c r="B827" s="5"/>
      <c r="C827" s="5"/>
      <c r="D827" s="5"/>
      <c r="E827" s="5"/>
      <c r="F827" s="5"/>
      <c r="G827" s="5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5"/>
      <c r="B828" s="5"/>
      <c r="C828" s="5"/>
      <c r="D828" s="5"/>
      <c r="E828" s="5"/>
      <c r="F828" s="5"/>
      <c r="G828" s="5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5"/>
      <c r="B829" s="5"/>
      <c r="C829" s="5"/>
      <c r="D829" s="5"/>
      <c r="E829" s="5"/>
      <c r="F829" s="5"/>
      <c r="G829" s="5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5"/>
      <c r="B830" s="5"/>
      <c r="C830" s="5"/>
      <c r="D830" s="5"/>
      <c r="E830" s="5"/>
      <c r="F830" s="5"/>
      <c r="G830" s="5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5"/>
      <c r="B831" s="5"/>
      <c r="C831" s="5"/>
      <c r="D831" s="5"/>
      <c r="E831" s="5"/>
      <c r="F831" s="5"/>
      <c r="G831" s="5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5"/>
      <c r="B832" s="5"/>
      <c r="C832" s="5"/>
      <c r="D832" s="5"/>
      <c r="E832" s="5"/>
      <c r="F832" s="5"/>
      <c r="G832" s="5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5"/>
      <c r="B833" s="5"/>
      <c r="C833" s="5"/>
      <c r="D833" s="5"/>
      <c r="E833" s="5"/>
      <c r="F833" s="5"/>
      <c r="G833" s="5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5"/>
      <c r="B834" s="5"/>
      <c r="C834" s="5"/>
      <c r="D834" s="5"/>
      <c r="E834" s="5"/>
      <c r="F834" s="5"/>
      <c r="G834" s="5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5"/>
      <c r="B835" s="5"/>
      <c r="C835" s="5"/>
      <c r="D835" s="5"/>
      <c r="E835" s="5"/>
      <c r="F835" s="5"/>
      <c r="G835" s="5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5"/>
      <c r="B836" s="5"/>
      <c r="C836" s="5"/>
      <c r="D836" s="5"/>
      <c r="E836" s="5"/>
      <c r="F836" s="5"/>
      <c r="G836" s="5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5"/>
      <c r="B837" s="5"/>
      <c r="C837" s="5"/>
      <c r="D837" s="5"/>
      <c r="E837" s="5"/>
      <c r="F837" s="5"/>
      <c r="G837" s="5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5"/>
      <c r="B838" s="5"/>
      <c r="C838" s="5"/>
      <c r="D838" s="5"/>
      <c r="E838" s="5"/>
      <c r="F838" s="5"/>
      <c r="G838" s="5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5"/>
      <c r="B839" s="5"/>
      <c r="C839" s="5"/>
      <c r="D839" s="5"/>
      <c r="E839" s="5"/>
      <c r="F839" s="5"/>
      <c r="G839" s="5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5"/>
      <c r="B840" s="5"/>
      <c r="C840" s="5"/>
      <c r="D840" s="5"/>
      <c r="E840" s="5"/>
      <c r="F840" s="5"/>
      <c r="G840" s="5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5"/>
      <c r="B841" s="5"/>
      <c r="C841" s="5"/>
      <c r="D841" s="5"/>
      <c r="E841" s="5"/>
      <c r="F841" s="5"/>
      <c r="G841" s="5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5"/>
      <c r="B842" s="5"/>
      <c r="C842" s="5"/>
      <c r="D842" s="5"/>
      <c r="E842" s="5"/>
      <c r="F842" s="5"/>
      <c r="G842" s="5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5"/>
      <c r="B843" s="5"/>
      <c r="C843" s="5"/>
      <c r="D843" s="5"/>
      <c r="E843" s="5"/>
      <c r="F843" s="5"/>
      <c r="G843" s="5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5"/>
      <c r="B844" s="5"/>
      <c r="C844" s="5"/>
      <c r="D844" s="5"/>
      <c r="E844" s="5"/>
      <c r="F844" s="5"/>
      <c r="G844" s="5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5"/>
      <c r="B845" s="5"/>
      <c r="C845" s="5"/>
      <c r="D845" s="5"/>
      <c r="E845" s="5"/>
      <c r="F845" s="5"/>
      <c r="G845" s="5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5"/>
      <c r="B846" s="5"/>
      <c r="C846" s="5"/>
      <c r="D846" s="5"/>
      <c r="E846" s="5"/>
      <c r="F846" s="5"/>
      <c r="G846" s="5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5"/>
      <c r="B847" s="5"/>
      <c r="C847" s="5"/>
      <c r="D847" s="5"/>
      <c r="E847" s="5"/>
      <c r="F847" s="5"/>
      <c r="G847" s="5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5"/>
      <c r="B848" s="5"/>
      <c r="C848" s="5"/>
      <c r="D848" s="5"/>
      <c r="E848" s="5"/>
      <c r="F848" s="5"/>
      <c r="G848" s="5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5"/>
      <c r="B849" s="5"/>
      <c r="C849" s="5"/>
      <c r="D849" s="5"/>
      <c r="E849" s="5"/>
      <c r="F849" s="5"/>
      <c r="G849" s="5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5"/>
      <c r="B850" s="5"/>
      <c r="C850" s="5"/>
      <c r="D850" s="5"/>
      <c r="E850" s="5"/>
      <c r="F850" s="5"/>
      <c r="G850" s="5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5"/>
      <c r="B851" s="5"/>
      <c r="C851" s="5"/>
      <c r="D851" s="5"/>
      <c r="E851" s="5"/>
      <c r="F851" s="5"/>
      <c r="G851" s="5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5"/>
      <c r="B852" s="5"/>
      <c r="C852" s="5"/>
      <c r="D852" s="5"/>
      <c r="E852" s="5"/>
      <c r="F852" s="5"/>
      <c r="G852" s="5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5"/>
      <c r="B853" s="5"/>
      <c r="C853" s="5"/>
      <c r="D853" s="5"/>
      <c r="E853" s="5"/>
      <c r="F853" s="5"/>
      <c r="G853" s="5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5"/>
      <c r="B854" s="5"/>
      <c r="C854" s="5"/>
      <c r="D854" s="5"/>
      <c r="E854" s="5"/>
      <c r="F854" s="5"/>
      <c r="G854" s="5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5"/>
      <c r="B855" s="5"/>
      <c r="C855" s="5"/>
      <c r="D855" s="5"/>
      <c r="E855" s="5"/>
      <c r="F855" s="5"/>
      <c r="G855" s="5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5"/>
      <c r="B856" s="5"/>
      <c r="C856" s="5"/>
      <c r="D856" s="5"/>
      <c r="E856" s="5"/>
      <c r="F856" s="5"/>
      <c r="G856" s="5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5"/>
      <c r="B857" s="5"/>
      <c r="C857" s="5"/>
      <c r="D857" s="5"/>
      <c r="E857" s="5"/>
      <c r="F857" s="5"/>
      <c r="G857" s="5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5"/>
      <c r="B858" s="5"/>
      <c r="C858" s="5"/>
      <c r="D858" s="5"/>
      <c r="E858" s="5"/>
      <c r="F858" s="5"/>
      <c r="G858" s="5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5"/>
      <c r="B859" s="5"/>
      <c r="C859" s="5"/>
      <c r="D859" s="5"/>
      <c r="E859" s="5"/>
      <c r="F859" s="5"/>
      <c r="G859" s="5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5"/>
      <c r="B860" s="5"/>
      <c r="C860" s="5"/>
      <c r="D860" s="5"/>
      <c r="E860" s="5"/>
      <c r="F860" s="5"/>
      <c r="G860" s="5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5"/>
      <c r="B861" s="5"/>
      <c r="C861" s="5"/>
      <c r="D861" s="5"/>
      <c r="E861" s="5"/>
      <c r="F861" s="5"/>
      <c r="G861" s="5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5"/>
      <c r="B862" s="5"/>
      <c r="C862" s="5"/>
      <c r="D862" s="5"/>
      <c r="E862" s="5"/>
      <c r="F862" s="5"/>
      <c r="G862" s="5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5"/>
      <c r="B863" s="5"/>
      <c r="C863" s="5"/>
      <c r="D863" s="5"/>
      <c r="E863" s="5"/>
      <c r="F863" s="5"/>
      <c r="G863" s="5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5"/>
      <c r="B864" s="5"/>
      <c r="C864" s="5"/>
      <c r="D864" s="5"/>
      <c r="E864" s="5"/>
      <c r="F864" s="5"/>
      <c r="G864" s="5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5"/>
      <c r="B865" s="5"/>
      <c r="C865" s="5"/>
      <c r="D865" s="5"/>
      <c r="E865" s="5"/>
      <c r="F865" s="5"/>
      <c r="G865" s="5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5"/>
      <c r="B866" s="5"/>
      <c r="C866" s="5"/>
      <c r="D866" s="5"/>
      <c r="E866" s="5"/>
      <c r="F866" s="5"/>
      <c r="G866" s="5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5"/>
      <c r="B867" s="5"/>
      <c r="C867" s="5"/>
      <c r="D867" s="5"/>
      <c r="E867" s="5"/>
      <c r="F867" s="5"/>
      <c r="G867" s="5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5"/>
      <c r="B868" s="5"/>
      <c r="C868" s="5"/>
      <c r="D868" s="5"/>
      <c r="E868" s="5"/>
      <c r="F868" s="5"/>
      <c r="G868" s="5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5"/>
      <c r="B869" s="5"/>
      <c r="C869" s="5"/>
      <c r="D869" s="5"/>
      <c r="E869" s="5"/>
      <c r="F869" s="5"/>
      <c r="G869" s="5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5"/>
      <c r="B870" s="5"/>
      <c r="C870" s="5"/>
      <c r="D870" s="5"/>
      <c r="E870" s="5"/>
      <c r="F870" s="5"/>
      <c r="G870" s="5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5"/>
      <c r="B871" s="5"/>
      <c r="C871" s="5"/>
      <c r="D871" s="5"/>
      <c r="E871" s="5"/>
      <c r="F871" s="5"/>
      <c r="G871" s="5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5"/>
      <c r="B872" s="5"/>
      <c r="C872" s="5"/>
      <c r="D872" s="5"/>
      <c r="E872" s="5"/>
      <c r="F872" s="5"/>
      <c r="G872" s="5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5"/>
      <c r="B873" s="5"/>
      <c r="C873" s="5"/>
      <c r="D873" s="5"/>
      <c r="E873" s="5"/>
      <c r="F873" s="5"/>
      <c r="G873" s="5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5"/>
      <c r="B874" s="5"/>
      <c r="C874" s="5"/>
      <c r="D874" s="5"/>
      <c r="E874" s="5"/>
      <c r="F874" s="5"/>
      <c r="G874" s="5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5"/>
      <c r="B875" s="5"/>
      <c r="C875" s="5"/>
      <c r="D875" s="5"/>
      <c r="E875" s="5"/>
      <c r="F875" s="5"/>
      <c r="G875" s="5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5"/>
      <c r="B876" s="5"/>
      <c r="C876" s="5"/>
      <c r="D876" s="5"/>
      <c r="E876" s="5"/>
      <c r="F876" s="5"/>
      <c r="G876" s="5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5"/>
      <c r="B877" s="5"/>
      <c r="C877" s="5"/>
      <c r="D877" s="5"/>
      <c r="E877" s="5"/>
      <c r="F877" s="5"/>
      <c r="G877" s="5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5"/>
      <c r="B878" s="5"/>
      <c r="C878" s="5"/>
      <c r="D878" s="5"/>
      <c r="E878" s="5"/>
      <c r="F878" s="5"/>
      <c r="G878" s="5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5"/>
      <c r="B879" s="5"/>
      <c r="C879" s="5"/>
      <c r="D879" s="5"/>
      <c r="E879" s="5"/>
      <c r="F879" s="5"/>
      <c r="G879" s="5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5"/>
      <c r="B880" s="5"/>
      <c r="C880" s="5"/>
      <c r="D880" s="5"/>
      <c r="E880" s="5"/>
      <c r="F880" s="5"/>
      <c r="G880" s="5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5"/>
      <c r="B881" s="5"/>
      <c r="C881" s="5"/>
      <c r="D881" s="5"/>
      <c r="E881" s="5"/>
      <c r="F881" s="5"/>
      <c r="G881" s="5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5"/>
      <c r="B882" s="5"/>
      <c r="C882" s="5"/>
      <c r="D882" s="5"/>
      <c r="E882" s="5"/>
      <c r="F882" s="5"/>
      <c r="G882" s="5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5"/>
      <c r="B883" s="5"/>
      <c r="C883" s="5"/>
      <c r="D883" s="5"/>
      <c r="E883" s="5"/>
      <c r="F883" s="5"/>
      <c r="G883" s="5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5"/>
      <c r="B884" s="5"/>
      <c r="C884" s="5"/>
      <c r="D884" s="5"/>
      <c r="E884" s="5"/>
      <c r="F884" s="5"/>
      <c r="G884" s="5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5"/>
      <c r="B885" s="5"/>
      <c r="C885" s="5"/>
      <c r="D885" s="5"/>
      <c r="E885" s="5"/>
      <c r="F885" s="5"/>
      <c r="G885" s="5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5"/>
      <c r="B886" s="5"/>
      <c r="C886" s="5"/>
      <c r="D886" s="5"/>
      <c r="E886" s="5"/>
      <c r="F886" s="5"/>
      <c r="G886" s="5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5"/>
      <c r="B887" s="5"/>
      <c r="C887" s="5"/>
      <c r="D887" s="5"/>
      <c r="E887" s="5"/>
      <c r="F887" s="5"/>
      <c r="G887" s="5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5"/>
      <c r="B888" s="5"/>
      <c r="C888" s="5"/>
      <c r="D888" s="5"/>
      <c r="E888" s="5"/>
      <c r="F888" s="5"/>
      <c r="G888" s="5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5"/>
      <c r="B889" s="5"/>
      <c r="C889" s="5"/>
      <c r="D889" s="5"/>
      <c r="E889" s="5"/>
      <c r="F889" s="5"/>
      <c r="G889" s="5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5"/>
      <c r="B890" s="5"/>
      <c r="C890" s="5"/>
      <c r="D890" s="5"/>
      <c r="E890" s="5"/>
      <c r="F890" s="5"/>
      <c r="G890" s="5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5"/>
      <c r="B891" s="5"/>
      <c r="C891" s="5"/>
      <c r="D891" s="5"/>
      <c r="E891" s="5"/>
      <c r="F891" s="5"/>
      <c r="G891" s="5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5"/>
      <c r="B892" s="5"/>
      <c r="C892" s="5"/>
      <c r="D892" s="5"/>
      <c r="E892" s="5"/>
      <c r="F892" s="5"/>
      <c r="G892" s="5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5"/>
      <c r="B893" s="5"/>
      <c r="C893" s="5"/>
      <c r="D893" s="5"/>
      <c r="E893" s="5"/>
      <c r="F893" s="5"/>
      <c r="G893" s="5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5"/>
      <c r="B894" s="5"/>
      <c r="C894" s="5"/>
      <c r="D894" s="5"/>
      <c r="E894" s="5"/>
      <c r="F894" s="5"/>
      <c r="G894" s="5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5"/>
      <c r="B895" s="5"/>
      <c r="C895" s="5"/>
      <c r="D895" s="5"/>
      <c r="E895" s="5"/>
      <c r="F895" s="5"/>
      <c r="G895" s="5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5"/>
      <c r="B896" s="5"/>
      <c r="C896" s="5"/>
      <c r="D896" s="5"/>
      <c r="E896" s="5"/>
      <c r="F896" s="5"/>
      <c r="G896" s="5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5"/>
      <c r="B897" s="5"/>
      <c r="C897" s="5"/>
      <c r="D897" s="5"/>
      <c r="E897" s="5"/>
      <c r="F897" s="5"/>
      <c r="G897" s="5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5"/>
      <c r="B898" s="5"/>
      <c r="C898" s="5"/>
      <c r="D898" s="5"/>
      <c r="E898" s="5"/>
      <c r="F898" s="5"/>
      <c r="G898" s="5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5"/>
      <c r="B899" s="5"/>
      <c r="C899" s="5"/>
      <c r="D899" s="5"/>
      <c r="E899" s="5"/>
      <c r="F899" s="5"/>
      <c r="G899" s="5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5"/>
      <c r="B900" s="5"/>
      <c r="C900" s="5"/>
      <c r="D900" s="5"/>
      <c r="E900" s="5"/>
      <c r="F900" s="5"/>
      <c r="G900" s="5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5"/>
      <c r="B901" s="5"/>
      <c r="C901" s="5"/>
      <c r="D901" s="5"/>
      <c r="E901" s="5"/>
      <c r="F901" s="5"/>
      <c r="G901" s="5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5"/>
      <c r="B902" s="5"/>
      <c r="C902" s="5"/>
      <c r="D902" s="5"/>
      <c r="E902" s="5"/>
      <c r="F902" s="5"/>
      <c r="G902" s="5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5"/>
      <c r="B903" s="5"/>
      <c r="C903" s="5"/>
      <c r="D903" s="5"/>
      <c r="E903" s="5"/>
      <c r="F903" s="5"/>
      <c r="G903" s="5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5"/>
      <c r="B904" s="5"/>
      <c r="C904" s="5"/>
      <c r="D904" s="5"/>
      <c r="E904" s="5"/>
      <c r="F904" s="5"/>
      <c r="G904" s="5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5"/>
      <c r="B905" s="5"/>
      <c r="C905" s="5"/>
      <c r="D905" s="5"/>
      <c r="E905" s="5"/>
      <c r="F905" s="5"/>
      <c r="G905" s="5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5"/>
      <c r="B906" s="5"/>
      <c r="C906" s="5"/>
      <c r="D906" s="5"/>
      <c r="E906" s="5"/>
      <c r="F906" s="5"/>
      <c r="G906" s="5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5"/>
      <c r="B907" s="5"/>
      <c r="C907" s="5"/>
      <c r="D907" s="5"/>
      <c r="E907" s="5"/>
      <c r="F907" s="5"/>
      <c r="G907" s="5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5"/>
      <c r="B908" s="5"/>
      <c r="C908" s="5"/>
      <c r="D908" s="5"/>
      <c r="E908" s="5"/>
      <c r="F908" s="5"/>
      <c r="G908" s="5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5"/>
      <c r="B909" s="5"/>
      <c r="C909" s="5"/>
      <c r="D909" s="5"/>
      <c r="E909" s="5"/>
      <c r="F909" s="5"/>
      <c r="G909" s="5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5"/>
      <c r="B910" s="5"/>
      <c r="C910" s="5"/>
      <c r="D910" s="5"/>
      <c r="E910" s="5"/>
      <c r="F910" s="5"/>
      <c r="G910" s="5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5"/>
      <c r="B911" s="5"/>
      <c r="C911" s="5"/>
      <c r="D911" s="5"/>
      <c r="E911" s="5"/>
      <c r="F911" s="5"/>
      <c r="G911" s="5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5"/>
      <c r="B912" s="5"/>
      <c r="C912" s="5"/>
      <c r="D912" s="5"/>
      <c r="E912" s="5"/>
      <c r="F912" s="5"/>
      <c r="G912" s="5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5"/>
      <c r="B913" s="5"/>
      <c r="C913" s="5"/>
      <c r="D913" s="5"/>
      <c r="E913" s="5"/>
      <c r="F913" s="5"/>
      <c r="G913" s="5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5"/>
      <c r="B914" s="5"/>
      <c r="C914" s="5"/>
      <c r="D914" s="5"/>
      <c r="E914" s="5"/>
      <c r="F914" s="5"/>
      <c r="G914" s="5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5"/>
      <c r="B915" s="5"/>
      <c r="C915" s="5"/>
      <c r="D915" s="5"/>
      <c r="E915" s="5"/>
      <c r="F915" s="5"/>
      <c r="G915" s="5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5"/>
      <c r="B916" s="5"/>
      <c r="C916" s="5"/>
      <c r="D916" s="5"/>
      <c r="E916" s="5"/>
      <c r="F916" s="5"/>
      <c r="G916" s="5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5"/>
      <c r="B917" s="5"/>
      <c r="C917" s="5"/>
      <c r="D917" s="5"/>
      <c r="E917" s="5"/>
      <c r="F917" s="5"/>
      <c r="G917" s="5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5"/>
      <c r="B918" s="5"/>
      <c r="C918" s="5"/>
      <c r="D918" s="5"/>
      <c r="E918" s="5"/>
      <c r="F918" s="5"/>
      <c r="G918" s="5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5"/>
      <c r="B919" s="5"/>
      <c r="C919" s="5"/>
      <c r="D919" s="5"/>
      <c r="E919" s="5"/>
      <c r="F919" s="5"/>
      <c r="G919" s="5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5"/>
      <c r="B920" s="5"/>
      <c r="C920" s="5"/>
      <c r="D920" s="5"/>
      <c r="E920" s="5"/>
      <c r="F920" s="5"/>
      <c r="G920" s="5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5"/>
      <c r="B921" s="5"/>
      <c r="C921" s="5"/>
      <c r="D921" s="5"/>
      <c r="E921" s="5"/>
      <c r="F921" s="5"/>
      <c r="G921" s="5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5"/>
      <c r="B922" s="5"/>
      <c r="C922" s="5"/>
      <c r="D922" s="5"/>
      <c r="E922" s="5"/>
      <c r="F922" s="5"/>
      <c r="G922" s="5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5"/>
      <c r="B923" s="5"/>
      <c r="C923" s="5"/>
      <c r="D923" s="5"/>
      <c r="E923" s="5"/>
      <c r="F923" s="5"/>
      <c r="G923" s="5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5"/>
      <c r="B924" s="5"/>
      <c r="C924" s="5"/>
      <c r="D924" s="5"/>
      <c r="E924" s="5"/>
      <c r="F924" s="5"/>
      <c r="G924" s="5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5"/>
      <c r="B925" s="5"/>
      <c r="C925" s="5"/>
      <c r="D925" s="5"/>
      <c r="E925" s="5"/>
      <c r="F925" s="5"/>
      <c r="G925" s="5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5"/>
      <c r="B926" s="5"/>
      <c r="C926" s="5"/>
      <c r="D926" s="5"/>
      <c r="E926" s="5"/>
      <c r="F926" s="5"/>
      <c r="G926" s="5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5"/>
      <c r="B927" s="5"/>
      <c r="C927" s="5"/>
      <c r="D927" s="5"/>
      <c r="E927" s="5"/>
      <c r="F927" s="5"/>
      <c r="G927" s="5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5"/>
      <c r="B928" s="5"/>
      <c r="C928" s="5"/>
      <c r="D928" s="5"/>
      <c r="E928" s="5"/>
      <c r="F928" s="5"/>
      <c r="G928" s="5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5"/>
      <c r="B929" s="5"/>
      <c r="C929" s="5"/>
      <c r="D929" s="5"/>
      <c r="E929" s="5"/>
      <c r="F929" s="5"/>
      <c r="G929" s="5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5"/>
      <c r="B930" s="5"/>
      <c r="C930" s="5"/>
      <c r="D930" s="5"/>
      <c r="E930" s="5"/>
      <c r="F930" s="5"/>
      <c r="G930" s="5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5"/>
      <c r="B931" s="5"/>
      <c r="C931" s="5"/>
      <c r="D931" s="5"/>
      <c r="E931" s="5"/>
      <c r="F931" s="5"/>
      <c r="G931" s="5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5"/>
      <c r="B932" s="5"/>
      <c r="C932" s="5"/>
      <c r="D932" s="5"/>
      <c r="E932" s="5"/>
      <c r="F932" s="5"/>
      <c r="G932" s="5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5"/>
      <c r="B933" s="5"/>
      <c r="C933" s="5"/>
      <c r="D933" s="5"/>
      <c r="E933" s="5"/>
      <c r="F933" s="5"/>
      <c r="G933" s="5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5"/>
      <c r="B934" s="5"/>
      <c r="C934" s="5"/>
      <c r="D934" s="5"/>
      <c r="E934" s="5"/>
      <c r="F934" s="5"/>
      <c r="G934" s="5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5"/>
      <c r="B935" s="5"/>
      <c r="C935" s="5"/>
      <c r="D935" s="5"/>
      <c r="E935" s="5"/>
      <c r="F935" s="5"/>
      <c r="G935" s="5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5"/>
      <c r="B936" s="5"/>
      <c r="C936" s="5"/>
      <c r="D936" s="5"/>
      <c r="E936" s="5"/>
      <c r="F936" s="5"/>
      <c r="G936" s="5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5"/>
      <c r="B937" s="5"/>
      <c r="C937" s="5"/>
      <c r="D937" s="5"/>
      <c r="E937" s="5"/>
      <c r="F937" s="5"/>
      <c r="G937" s="5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5"/>
      <c r="B938" s="5"/>
      <c r="C938" s="5"/>
      <c r="D938" s="5"/>
      <c r="E938" s="5"/>
      <c r="F938" s="5"/>
      <c r="G938" s="5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5"/>
      <c r="B939" s="5"/>
      <c r="C939" s="5"/>
      <c r="D939" s="5"/>
      <c r="E939" s="5"/>
      <c r="F939" s="5"/>
      <c r="G939" s="5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5"/>
      <c r="B940" s="5"/>
      <c r="C940" s="5"/>
      <c r="D940" s="5"/>
      <c r="E940" s="5"/>
      <c r="F940" s="5"/>
      <c r="G940" s="5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5"/>
      <c r="B941" s="5"/>
      <c r="C941" s="5"/>
      <c r="D941" s="5"/>
      <c r="E941" s="5"/>
      <c r="F941" s="5"/>
      <c r="G941" s="5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5"/>
      <c r="B942" s="5"/>
      <c r="C942" s="5"/>
      <c r="D942" s="5"/>
      <c r="E942" s="5"/>
      <c r="F942" s="5"/>
      <c r="G942" s="5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5"/>
      <c r="B943" s="5"/>
      <c r="C943" s="5"/>
      <c r="D943" s="5"/>
      <c r="E943" s="5"/>
      <c r="F943" s="5"/>
      <c r="G943" s="5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5"/>
      <c r="B944" s="5"/>
      <c r="C944" s="5"/>
      <c r="D944" s="5"/>
      <c r="E944" s="5"/>
      <c r="F944" s="5"/>
      <c r="G944" s="5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5"/>
      <c r="B945" s="5"/>
      <c r="C945" s="5"/>
      <c r="D945" s="5"/>
      <c r="E945" s="5"/>
      <c r="F945" s="5"/>
      <c r="G945" s="5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5"/>
      <c r="B946" s="5"/>
      <c r="C946" s="5"/>
      <c r="D946" s="5"/>
      <c r="E946" s="5"/>
      <c r="F946" s="5"/>
      <c r="G946" s="5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5"/>
      <c r="B947" s="5"/>
      <c r="C947" s="5"/>
      <c r="D947" s="5"/>
      <c r="E947" s="5"/>
      <c r="F947" s="5"/>
      <c r="G947" s="5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5"/>
      <c r="B948" s="5"/>
      <c r="C948" s="5"/>
      <c r="D948" s="5"/>
      <c r="E948" s="5"/>
      <c r="F948" s="5"/>
      <c r="G948" s="5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5"/>
      <c r="B949" s="5"/>
      <c r="C949" s="5"/>
      <c r="D949" s="5"/>
      <c r="E949" s="5"/>
      <c r="F949" s="5"/>
      <c r="G949" s="5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5"/>
      <c r="B950" s="5"/>
      <c r="C950" s="5"/>
      <c r="D950" s="5"/>
      <c r="E950" s="5"/>
      <c r="F950" s="5"/>
      <c r="G950" s="5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5"/>
      <c r="B951" s="5"/>
      <c r="C951" s="5"/>
      <c r="D951" s="5"/>
      <c r="E951" s="5"/>
      <c r="F951" s="5"/>
      <c r="G951" s="5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5"/>
      <c r="B952" s="5"/>
      <c r="C952" s="5"/>
      <c r="D952" s="5"/>
      <c r="E952" s="5"/>
      <c r="F952" s="5"/>
      <c r="G952" s="5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5"/>
      <c r="B953" s="5"/>
      <c r="C953" s="5"/>
      <c r="D953" s="5"/>
      <c r="E953" s="5"/>
      <c r="F953" s="5"/>
      <c r="G953" s="5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5"/>
      <c r="B954" s="5"/>
      <c r="C954" s="5"/>
      <c r="D954" s="5"/>
      <c r="E954" s="5"/>
      <c r="F954" s="5"/>
      <c r="G954" s="5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5"/>
      <c r="B955" s="5"/>
      <c r="C955" s="5"/>
      <c r="D955" s="5"/>
      <c r="E955" s="5"/>
      <c r="F955" s="5"/>
      <c r="G955" s="5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5"/>
      <c r="B956" s="5"/>
      <c r="C956" s="5"/>
      <c r="D956" s="5"/>
      <c r="E956" s="5"/>
      <c r="F956" s="5"/>
      <c r="G956" s="5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5"/>
      <c r="B957" s="5"/>
      <c r="C957" s="5"/>
      <c r="D957" s="5"/>
      <c r="E957" s="5"/>
      <c r="F957" s="5"/>
      <c r="G957" s="5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5"/>
      <c r="B958" s="5"/>
      <c r="C958" s="5"/>
      <c r="D958" s="5"/>
      <c r="E958" s="5"/>
      <c r="F958" s="5"/>
      <c r="G958" s="5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5"/>
      <c r="B959" s="5"/>
      <c r="C959" s="5"/>
      <c r="D959" s="5"/>
      <c r="E959" s="5"/>
      <c r="F959" s="5"/>
      <c r="G959" s="5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5"/>
      <c r="B960" s="5"/>
      <c r="C960" s="5"/>
      <c r="D960" s="5"/>
      <c r="E960" s="5"/>
      <c r="F960" s="5"/>
      <c r="G960" s="5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5"/>
      <c r="B961" s="5"/>
      <c r="C961" s="5"/>
      <c r="D961" s="5"/>
      <c r="E961" s="5"/>
      <c r="F961" s="5"/>
      <c r="G961" s="5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5"/>
      <c r="B962" s="5"/>
      <c r="C962" s="5"/>
      <c r="D962" s="5"/>
      <c r="E962" s="5"/>
      <c r="F962" s="5"/>
      <c r="G962" s="5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5"/>
      <c r="B963" s="5"/>
      <c r="C963" s="5"/>
      <c r="D963" s="5"/>
      <c r="E963" s="5"/>
      <c r="F963" s="5"/>
      <c r="G963" s="5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5"/>
      <c r="B964" s="5"/>
      <c r="C964" s="5"/>
      <c r="D964" s="5"/>
      <c r="E964" s="5"/>
      <c r="F964" s="5"/>
      <c r="G964" s="5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5"/>
      <c r="B965" s="5"/>
      <c r="C965" s="5"/>
      <c r="D965" s="5"/>
      <c r="E965" s="5"/>
      <c r="F965" s="5"/>
      <c r="G965" s="5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5"/>
      <c r="B966" s="5"/>
      <c r="C966" s="5"/>
      <c r="D966" s="5"/>
      <c r="E966" s="5"/>
      <c r="F966" s="5"/>
      <c r="G966" s="5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5"/>
      <c r="B967" s="5"/>
      <c r="C967" s="5"/>
      <c r="D967" s="5"/>
      <c r="E967" s="5"/>
      <c r="F967" s="5"/>
      <c r="G967" s="5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5"/>
      <c r="B968" s="5"/>
      <c r="C968" s="5"/>
      <c r="D968" s="5"/>
      <c r="E968" s="5"/>
      <c r="F968" s="5"/>
      <c r="G968" s="5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5"/>
      <c r="B969" s="5"/>
      <c r="C969" s="5"/>
      <c r="D969" s="5"/>
      <c r="E969" s="5"/>
      <c r="F969" s="5"/>
      <c r="G969" s="5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5"/>
      <c r="B970" s="5"/>
      <c r="C970" s="5"/>
      <c r="D970" s="5"/>
      <c r="E970" s="5"/>
      <c r="F970" s="5"/>
      <c r="G970" s="5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5"/>
      <c r="B971" s="5"/>
      <c r="C971" s="5"/>
      <c r="D971" s="5"/>
      <c r="E971" s="5"/>
      <c r="F971" s="5"/>
      <c r="G971" s="5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5"/>
      <c r="B972" s="5"/>
      <c r="C972" s="5"/>
      <c r="D972" s="5"/>
      <c r="E972" s="5"/>
      <c r="F972" s="5"/>
      <c r="G972" s="5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5"/>
      <c r="B973" s="5"/>
      <c r="C973" s="5"/>
      <c r="D973" s="5"/>
      <c r="E973" s="5"/>
      <c r="F973" s="5"/>
      <c r="G973" s="5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5"/>
      <c r="B974" s="5"/>
      <c r="C974" s="5"/>
      <c r="D974" s="5"/>
      <c r="E974" s="5"/>
      <c r="F974" s="5"/>
      <c r="G974" s="5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5"/>
      <c r="B975" s="5"/>
      <c r="C975" s="5"/>
      <c r="D975" s="5"/>
      <c r="E975" s="5"/>
      <c r="F975" s="5"/>
      <c r="G975" s="5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5"/>
      <c r="B976" s="5"/>
      <c r="C976" s="5"/>
      <c r="D976" s="5"/>
      <c r="E976" s="5"/>
      <c r="F976" s="5"/>
      <c r="G976" s="5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5"/>
      <c r="B977" s="5"/>
      <c r="C977" s="5"/>
      <c r="D977" s="5"/>
      <c r="E977" s="5"/>
      <c r="F977" s="5"/>
      <c r="G977" s="5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5"/>
      <c r="B978" s="5"/>
      <c r="C978" s="5"/>
      <c r="D978" s="5"/>
      <c r="E978" s="5"/>
      <c r="F978" s="5"/>
      <c r="G978" s="5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5"/>
      <c r="B979" s="5"/>
      <c r="C979" s="5"/>
      <c r="D979" s="5"/>
      <c r="E979" s="5"/>
      <c r="F979" s="5"/>
      <c r="G979" s="5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5"/>
      <c r="B980" s="5"/>
      <c r="C980" s="5"/>
      <c r="D980" s="5"/>
      <c r="E980" s="5"/>
      <c r="F980" s="5"/>
      <c r="G980" s="5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5"/>
      <c r="B981" s="5"/>
      <c r="C981" s="5"/>
      <c r="D981" s="5"/>
      <c r="E981" s="5"/>
      <c r="F981" s="5"/>
      <c r="G981" s="5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5"/>
      <c r="B982" s="5"/>
      <c r="C982" s="5"/>
      <c r="D982" s="5"/>
      <c r="E982" s="5"/>
      <c r="F982" s="5"/>
      <c r="G982" s="5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5"/>
      <c r="B983" s="5"/>
      <c r="C983" s="5"/>
      <c r="D983" s="5"/>
      <c r="E983" s="5"/>
      <c r="F983" s="5"/>
      <c r="G983" s="5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5"/>
      <c r="B984" s="5"/>
      <c r="C984" s="5"/>
      <c r="D984" s="5"/>
      <c r="E984" s="5"/>
      <c r="F984" s="5"/>
      <c r="G984" s="5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5"/>
      <c r="B985" s="5"/>
      <c r="C985" s="5"/>
      <c r="D985" s="5"/>
      <c r="E985" s="5"/>
      <c r="F985" s="5"/>
      <c r="G985" s="5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5"/>
      <c r="B986" s="5"/>
      <c r="C986" s="5"/>
      <c r="D986" s="5"/>
      <c r="E986" s="5"/>
      <c r="F986" s="5"/>
      <c r="G986" s="5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5"/>
      <c r="B987" s="5"/>
      <c r="C987" s="5"/>
      <c r="D987" s="5"/>
      <c r="E987" s="5"/>
      <c r="F987" s="5"/>
      <c r="G987" s="5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5"/>
      <c r="B988" s="5"/>
      <c r="C988" s="5"/>
      <c r="D988" s="5"/>
      <c r="E988" s="5"/>
      <c r="F988" s="5"/>
      <c r="G988" s="5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5"/>
      <c r="B989" s="5"/>
      <c r="C989" s="5"/>
      <c r="D989" s="5"/>
      <c r="E989" s="5"/>
      <c r="F989" s="5"/>
      <c r="G989" s="5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5"/>
      <c r="B990" s="5"/>
      <c r="C990" s="5"/>
      <c r="D990" s="5"/>
      <c r="E990" s="5"/>
      <c r="F990" s="5"/>
      <c r="G990" s="5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5"/>
      <c r="B991" s="5"/>
      <c r="C991" s="5"/>
      <c r="D991" s="5"/>
      <c r="E991" s="5"/>
      <c r="F991" s="5"/>
      <c r="G991" s="5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5"/>
      <c r="B992" s="5"/>
      <c r="C992" s="5"/>
      <c r="D992" s="5"/>
      <c r="E992" s="5"/>
      <c r="F992" s="5"/>
      <c r="G992" s="5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5"/>
      <c r="B993" s="5"/>
      <c r="C993" s="5"/>
      <c r="D993" s="5"/>
      <c r="E993" s="5"/>
      <c r="F993" s="5"/>
      <c r="G993" s="5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5"/>
      <c r="B994" s="5"/>
      <c r="C994" s="5"/>
      <c r="D994" s="5"/>
      <c r="E994" s="5"/>
      <c r="F994" s="5"/>
      <c r="G994" s="5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5"/>
      <c r="B995" s="5"/>
      <c r="C995" s="5"/>
      <c r="D995" s="5"/>
      <c r="E995" s="5"/>
      <c r="F995" s="5"/>
      <c r="G995" s="5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5"/>
      <c r="B996" s="5"/>
      <c r="C996" s="5"/>
      <c r="D996" s="5"/>
      <c r="E996" s="5"/>
      <c r="F996" s="5"/>
      <c r="G996" s="5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5"/>
      <c r="B997" s="5"/>
      <c r="C997" s="5"/>
      <c r="D997" s="5"/>
      <c r="E997" s="5"/>
      <c r="F997" s="5"/>
      <c r="G997" s="5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5"/>
      <c r="B998" s="5"/>
      <c r="C998" s="5"/>
      <c r="D998" s="5"/>
      <c r="E998" s="5"/>
      <c r="F998" s="5"/>
      <c r="G998" s="5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5"/>
      <c r="B999" s="5"/>
      <c r="C999" s="5"/>
      <c r="D999" s="5"/>
      <c r="E999" s="5"/>
      <c r="F999" s="5"/>
      <c r="G999" s="5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5"/>
      <c r="B1000" s="5"/>
      <c r="C1000" s="5"/>
      <c r="D1000" s="5"/>
      <c r="E1000" s="5"/>
      <c r="F1000" s="5"/>
      <c r="G1000" s="5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D$500"/>
  <dataValidations>
    <dataValidation type="list" allowBlank="1" showErrorMessage="1" sqref="G1">
      <formula1>$K$1:$K$4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57"/>
    <col customWidth="1" min="2" max="6" width="11.71"/>
    <col customWidth="1" min="7" max="7" width="9.71"/>
    <col customWidth="1" min="8" max="8" width="11.86"/>
    <col customWidth="1" min="9" max="13" width="11.71"/>
    <col customWidth="1" min="14" max="26" width="9.14"/>
  </cols>
  <sheetData>
    <row r="1">
      <c r="A1" s="1" t="s">
        <v>0</v>
      </c>
      <c r="B1" s="1">
        <v>2015.0</v>
      </c>
      <c r="C1" s="1">
        <v>2016.0</v>
      </c>
      <c r="D1" s="1">
        <v>2017.0</v>
      </c>
      <c r="E1" s="1">
        <v>2018.0</v>
      </c>
      <c r="F1" s="1">
        <v>2019.0</v>
      </c>
      <c r="G1" s="16"/>
      <c r="H1" s="24" t="s">
        <v>0</v>
      </c>
      <c r="I1" s="25" t="s">
        <v>296</v>
      </c>
      <c r="J1" s="25" t="s">
        <v>297</v>
      </c>
      <c r="K1" s="25" t="s">
        <v>298</v>
      </c>
      <c r="L1" s="25" t="s">
        <v>299</v>
      </c>
      <c r="M1" s="25" t="s">
        <v>300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4</v>
      </c>
      <c r="B2" s="26">
        <v>6000.0</v>
      </c>
      <c r="C2" s="26">
        <v>14700.0</v>
      </c>
      <c r="D2" s="26">
        <v>7500.0</v>
      </c>
      <c r="E2" s="26">
        <v>9100.0</v>
      </c>
      <c r="F2" s="26">
        <v>4100.0</v>
      </c>
      <c r="G2" s="16"/>
      <c r="H2" s="19" t="s">
        <v>11</v>
      </c>
      <c r="I2" s="27">
        <f t="array" ref="I2:M2">XLOOKUP($H2,A:A,B:F)</f>
        <v>12000</v>
      </c>
      <c r="J2" s="27">
        <v>16500.0</v>
      </c>
      <c r="K2" s="27">
        <v>8700.0</v>
      </c>
      <c r="L2" s="27">
        <v>6400.0</v>
      </c>
      <c r="M2" s="27">
        <v>7100.0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8</v>
      </c>
      <c r="B3" s="26">
        <v>7800.0</v>
      </c>
      <c r="C3" s="26">
        <v>18300.0</v>
      </c>
      <c r="D3" s="26">
        <v>4800.0</v>
      </c>
      <c r="E3" s="26">
        <v>12300.0</v>
      </c>
      <c r="F3" s="26">
        <v>10700.0</v>
      </c>
      <c r="G3" s="5"/>
      <c r="H3" s="19" t="s">
        <v>20</v>
      </c>
      <c r="I3" s="27">
        <f t="array" ref="I3:M3">XLOOKUP($H3,A:A,B:F)</f>
        <v>6100</v>
      </c>
      <c r="J3" s="27">
        <v>14900.0</v>
      </c>
      <c r="K3" s="27">
        <v>13100.0</v>
      </c>
      <c r="L3" s="27">
        <v>18800.0</v>
      </c>
      <c r="M3" s="27">
        <v>1300.0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11</v>
      </c>
      <c r="B4" s="26">
        <v>12000.0</v>
      </c>
      <c r="C4" s="26">
        <v>16500.0</v>
      </c>
      <c r="D4" s="26">
        <v>8700.0</v>
      </c>
      <c r="E4" s="26">
        <v>6400.0</v>
      </c>
      <c r="F4" s="26">
        <v>7100.0</v>
      </c>
      <c r="G4" s="5"/>
      <c r="H4" s="19" t="s">
        <v>22</v>
      </c>
      <c r="I4" s="27">
        <f t="array" ref="I4:M4">XLOOKUP($H4,A:A,B:F)</f>
        <v>9100</v>
      </c>
      <c r="J4" s="27">
        <v>10300.0</v>
      </c>
      <c r="K4" s="27">
        <v>19100.0</v>
      </c>
      <c r="L4" s="27">
        <v>17300.0</v>
      </c>
      <c r="M4" s="27">
        <v>1000.0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14</v>
      </c>
      <c r="B5" s="26">
        <v>1600.0</v>
      </c>
      <c r="C5" s="26">
        <v>18900.0</v>
      </c>
      <c r="D5" s="26">
        <v>3900.0</v>
      </c>
      <c r="E5" s="26">
        <v>18600.0</v>
      </c>
      <c r="F5" s="26">
        <v>11500.0</v>
      </c>
      <c r="G5" s="5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16</v>
      </c>
      <c r="B6" s="26">
        <v>5600.0</v>
      </c>
      <c r="C6" s="26">
        <v>10300.0</v>
      </c>
      <c r="D6" s="26">
        <v>4200.0</v>
      </c>
      <c r="E6" s="26">
        <v>11600.0</v>
      </c>
      <c r="F6" s="26">
        <v>8000.0</v>
      </c>
      <c r="G6" s="5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18</v>
      </c>
      <c r="B7" s="26">
        <v>9200.0</v>
      </c>
      <c r="C7" s="26">
        <v>14000.0</v>
      </c>
      <c r="D7" s="26">
        <v>16000.0</v>
      </c>
      <c r="E7" s="26">
        <v>5100.0</v>
      </c>
      <c r="F7" s="26">
        <v>18900.0</v>
      </c>
      <c r="G7" s="5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20</v>
      </c>
      <c r="B8" s="26">
        <v>6100.0</v>
      </c>
      <c r="C8" s="26">
        <v>14900.0</v>
      </c>
      <c r="D8" s="26">
        <v>13100.0</v>
      </c>
      <c r="E8" s="26">
        <v>18800.0</v>
      </c>
      <c r="F8" s="26">
        <v>1300.0</v>
      </c>
      <c r="G8" s="5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22</v>
      </c>
      <c r="B9" s="26">
        <v>9100.0</v>
      </c>
      <c r="C9" s="26">
        <v>10300.0</v>
      </c>
      <c r="D9" s="26">
        <v>19100.0</v>
      </c>
      <c r="E9" s="26">
        <v>17300.0</v>
      </c>
      <c r="F9" s="26">
        <v>1000.0</v>
      </c>
      <c r="G9" s="5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24</v>
      </c>
      <c r="B10" s="26">
        <v>12200.0</v>
      </c>
      <c r="C10" s="26">
        <v>12100.0</v>
      </c>
      <c r="D10" s="26">
        <v>11900.0</v>
      </c>
      <c r="E10" s="26">
        <v>13700.0</v>
      </c>
      <c r="F10" s="26">
        <v>6500.0</v>
      </c>
      <c r="G10" s="5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 t="s">
        <v>26</v>
      </c>
      <c r="B11" s="26">
        <v>7500.0</v>
      </c>
      <c r="C11" s="26">
        <v>12700.0</v>
      </c>
      <c r="D11" s="26">
        <v>9100.0</v>
      </c>
      <c r="E11" s="26">
        <v>9900.0</v>
      </c>
      <c r="F11" s="26">
        <v>6900.0</v>
      </c>
      <c r="G11" s="5"/>
      <c r="H11" s="2"/>
      <c r="I11" s="2"/>
      <c r="J11" s="2"/>
      <c r="K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 t="s">
        <v>28</v>
      </c>
      <c r="B12" s="26">
        <v>7200.0</v>
      </c>
      <c r="C12" s="26">
        <v>13300.0</v>
      </c>
      <c r="D12" s="26">
        <v>13700.0</v>
      </c>
      <c r="E12" s="26">
        <v>5700.0</v>
      </c>
      <c r="F12" s="26">
        <v>2300.0</v>
      </c>
      <c r="G12" s="5"/>
      <c r="H12" s="2"/>
      <c r="I12" s="2"/>
      <c r="J12" s="2"/>
      <c r="K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30</v>
      </c>
      <c r="B13" s="26">
        <v>7400.0</v>
      </c>
      <c r="C13" s="26">
        <v>1000.0</v>
      </c>
      <c r="D13" s="26">
        <v>9800.0</v>
      </c>
      <c r="E13" s="26">
        <v>17700.0</v>
      </c>
      <c r="F13" s="26">
        <v>19600.0</v>
      </c>
      <c r="G13" s="5"/>
      <c r="H13" s="2"/>
      <c r="I13" s="2"/>
      <c r="J13" s="2"/>
      <c r="K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 t="s">
        <v>32</v>
      </c>
      <c r="B14" s="26">
        <v>14600.0</v>
      </c>
      <c r="C14" s="26">
        <v>15200.0</v>
      </c>
      <c r="D14" s="26">
        <v>1700.0</v>
      </c>
      <c r="E14" s="26">
        <v>11300.0</v>
      </c>
      <c r="F14" s="26">
        <v>13600.0</v>
      </c>
      <c r="G14" s="5"/>
      <c r="H14" s="2"/>
      <c r="I14" s="2"/>
      <c r="J14" s="2"/>
      <c r="K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 t="s">
        <v>34</v>
      </c>
      <c r="B15" s="26">
        <v>6000.0</v>
      </c>
      <c r="C15" s="26">
        <v>1300.0</v>
      </c>
      <c r="D15" s="26">
        <v>17400.0</v>
      </c>
      <c r="E15" s="26">
        <v>1800.0</v>
      </c>
      <c r="F15" s="26">
        <v>17600.0</v>
      </c>
      <c r="G15" s="5"/>
      <c r="H15" s="2"/>
      <c r="I15" s="2"/>
      <c r="J15" s="2"/>
      <c r="K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 t="s">
        <v>36</v>
      </c>
      <c r="B16" s="26">
        <v>15700.0</v>
      </c>
      <c r="C16" s="26">
        <v>5000.0</v>
      </c>
      <c r="D16" s="26">
        <v>11500.0</v>
      </c>
      <c r="E16" s="26">
        <v>11800.0</v>
      </c>
      <c r="F16" s="26">
        <v>15400.0</v>
      </c>
      <c r="G16" s="5"/>
      <c r="H16" s="2"/>
      <c r="I16" s="2"/>
      <c r="J16" s="2"/>
      <c r="K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38</v>
      </c>
      <c r="B17" s="26">
        <v>14200.0</v>
      </c>
      <c r="C17" s="26">
        <v>2900.0</v>
      </c>
      <c r="D17" s="26">
        <v>10800.0</v>
      </c>
      <c r="E17" s="26">
        <v>14900.0</v>
      </c>
      <c r="F17" s="26">
        <v>16000.0</v>
      </c>
      <c r="G17" s="5"/>
      <c r="H17" s="2"/>
      <c r="I17" s="2"/>
      <c r="J17" s="2"/>
      <c r="K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 t="s">
        <v>40</v>
      </c>
      <c r="B18" s="26">
        <v>13300.0</v>
      </c>
      <c r="C18" s="26">
        <v>13700.0</v>
      </c>
      <c r="D18" s="26">
        <v>19100.0</v>
      </c>
      <c r="E18" s="26">
        <v>7100.0</v>
      </c>
      <c r="F18" s="26">
        <v>16100.0</v>
      </c>
      <c r="G18" s="5"/>
      <c r="H18" s="2"/>
      <c r="I18" s="2"/>
      <c r="J18" s="2"/>
      <c r="K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 t="s">
        <v>42</v>
      </c>
      <c r="B19" s="26">
        <v>7800.0</v>
      </c>
      <c r="C19" s="26">
        <v>1000.0</v>
      </c>
      <c r="D19" s="26">
        <v>5300.0</v>
      </c>
      <c r="E19" s="26">
        <v>2400.0</v>
      </c>
      <c r="F19" s="26">
        <v>9600.0</v>
      </c>
      <c r="G19" s="5"/>
      <c r="H19" s="2"/>
      <c r="I19" s="2"/>
      <c r="J19" s="2"/>
      <c r="K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 t="s">
        <v>44</v>
      </c>
      <c r="B20" s="26">
        <v>7900.0</v>
      </c>
      <c r="C20" s="26">
        <v>9900.0</v>
      </c>
      <c r="D20" s="26">
        <v>16600.0</v>
      </c>
      <c r="E20" s="26">
        <v>4600.0</v>
      </c>
      <c r="F20" s="26">
        <v>3100.0</v>
      </c>
      <c r="G20" s="5"/>
      <c r="H20" s="2"/>
      <c r="I20" s="2"/>
      <c r="J20" s="2"/>
      <c r="K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" t="s">
        <v>46</v>
      </c>
      <c r="B21" s="26">
        <v>17700.0</v>
      </c>
      <c r="C21" s="26">
        <v>7200.0</v>
      </c>
      <c r="D21" s="26">
        <v>14300.0</v>
      </c>
      <c r="E21" s="26">
        <v>7400.0</v>
      </c>
      <c r="F21" s="26">
        <v>15200.0</v>
      </c>
      <c r="G21" s="5"/>
      <c r="H21" s="2"/>
      <c r="I21" s="2"/>
      <c r="J21" s="2"/>
      <c r="K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" t="s">
        <v>48</v>
      </c>
      <c r="B22" s="26">
        <v>3000.0</v>
      </c>
      <c r="C22" s="26">
        <v>4400.0</v>
      </c>
      <c r="D22" s="26">
        <v>9700.0</v>
      </c>
      <c r="E22" s="26">
        <v>2800.0</v>
      </c>
      <c r="F22" s="26">
        <v>5200.0</v>
      </c>
      <c r="G22" s="5"/>
      <c r="H22" s="2"/>
      <c r="I22" s="2"/>
      <c r="J22" s="2"/>
      <c r="K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" t="s">
        <v>49</v>
      </c>
      <c r="B23" s="26">
        <v>9600.0</v>
      </c>
      <c r="C23" s="26">
        <v>6400.0</v>
      </c>
      <c r="D23" s="26">
        <v>8200.0</v>
      </c>
      <c r="E23" s="26">
        <v>17800.0</v>
      </c>
      <c r="F23" s="26">
        <v>9200.0</v>
      </c>
      <c r="G23" s="5"/>
      <c r="H23" s="2"/>
      <c r="I23" s="2"/>
      <c r="J23" s="2"/>
      <c r="K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 t="s">
        <v>51</v>
      </c>
      <c r="B24" s="26">
        <v>7200.0</v>
      </c>
      <c r="C24" s="26">
        <v>17900.0</v>
      </c>
      <c r="D24" s="26">
        <v>11900.0</v>
      </c>
      <c r="E24" s="26">
        <v>2500.0</v>
      </c>
      <c r="F24" s="26">
        <v>11500.0</v>
      </c>
      <c r="G24" s="5"/>
      <c r="H24" s="2"/>
      <c r="I24" s="2"/>
      <c r="J24" s="2"/>
      <c r="K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" t="s">
        <v>53</v>
      </c>
      <c r="B25" s="26">
        <v>7200.0</v>
      </c>
      <c r="C25" s="26">
        <v>19200.0</v>
      </c>
      <c r="D25" s="26">
        <v>17100.0</v>
      </c>
      <c r="E25" s="26">
        <v>12800.0</v>
      </c>
      <c r="F25" s="26">
        <v>17200.0</v>
      </c>
      <c r="G25" s="5"/>
      <c r="H25" s="2"/>
      <c r="I25" s="2"/>
      <c r="J25" s="2"/>
      <c r="K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" t="s">
        <v>55</v>
      </c>
      <c r="B26" s="26">
        <v>8100.0</v>
      </c>
      <c r="C26" s="26">
        <v>1900.0</v>
      </c>
      <c r="D26" s="26">
        <v>13000.0</v>
      </c>
      <c r="E26" s="26">
        <v>4600.0</v>
      </c>
      <c r="F26" s="26">
        <v>14300.0</v>
      </c>
      <c r="G26" s="5"/>
      <c r="H26" s="2"/>
      <c r="I26" s="2"/>
      <c r="J26" s="2"/>
      <c r="K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" t="s">
        <v>57</v>
      </c>
      <c r="B27" s="26">
        <v>11100.0</v>
      </c>
      <c r="C27" s="26">
        <v>15500.0</v>
      </c>
      <c r="D27" s="26">
        <v>19600.0</v>
      </c>
      <c r="E27" s="26">
        <v>4800.0</v>
      </c>
      <c r="F27" s="26">
        <v>1000.0</v>
      </c>
      <c r="G27" s="5"/>
      <c r="H27" s="2"/>
      <c r="I27" s="2"/>
      <c r="J27" s="2"/>
      <c r="K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" t="s">
        <v>59</v>
      </c>
      <c r="B28" s="26">
        <v>19500.0</v>
      </c>
      <c r="C28" s="26">
        <v>2800.0</v>
      </c>
      <c r="D28" s="26">
        <v>19200.0</v>
      </c>
      <c r="E28" s="26">
        <v>4300.0</v>
      </c>
      <c r="F28" s="26">
        <v>11600.0</v>
      </c>
      <c r="G28" s="5"/>
      <c r="H28" s="2"/>
      <c r="I28" s="2"/>
      <c r="J28" s="2"/>
      <c r="K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" t="s">
        <v>61</v>
      </c>
      <c r="B29" s="26">
        <v>9100.0</v>
      </c>
      <c r="C29" s="26">
        <v>19500.0</v>
      </c>
      <c r="D29" s="26">
        <v>8500.0</v>
      </c>
      <c r="E29" s="26">
        <v>11300.0</v>
      </c>
      <c r="F29" s="26">
        <v>9700.0</v>
      </c>
      <c r="G29" s="5"/>
      <c r="H29" s="2"/>
      <c r="I29" s="2"/>
      <c r="J29" s="2"/>
      <c r="K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" t="s">
        <v>63</v>
      </c>
      <c r="B30" s="26">
        <v>18600.0</v>
      </c>
      <c r="C30" s="26">
        <v>19400.0</v>
      </c>
      <c r="D30" s="26">
        <v>14000.0</v>
      </c>
      <c r="E30" s="26">
        <v>8100.0</v>
      </c>
      <c r="F30" s="26">
        <v>5000.0</v>
      </c>
      <c r="G30" s="5"/>
      <c r="H30" s="2"/>
      <c r="I30" s="2"/>
      <c r="J30" s="2"/>
      <c r="K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" t="s">
        <v>65</v>
      </c>
      <c r="B31" s="26">
        <v>19300.0</v>
      </c>
      <c r="C31" s="26">
        <v>19700.0</v>
      </c>
      <c r="D31" s="26">
        <v>10000.0</v>
      </c>
      <c r="E31" s="26">
        <v>10400.0</v>
      </c>
      <c r="F31" s="26">
        <v>8600.0</v>
      </c>
      <c r="G31" s="5"/>
      <c r="H31" s="2"/>
      <c r="I31" s="2"/>
      <c r="J31" s="2"/>
      <c r="K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" t="s">
        <v>67</v>
      </c>
      <c r="B32" s="26">
        <v>14000.0</v>
      </c>
      <c r="C32" s="26">
        <v>4500.0</v>
      </c>
      <c r="D32" s="26">
        <v>14500.0</v>
      </c>
      <c r="E32" s="26">
        <v>3800.0</v>
      </c>
      <c r="F32" s="26">
        <v>8800.0</v>
      </c>
      <c r="G32" s="5"/>
      <c r="H32" s="2"/>
      <c r="I32" s="2"/>
      <c r="J32" s="2"/>
      <c r="K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5" t="s">
        <v>69</v>
      </c>
      <c r="B33" s="26">
        <v>3900.0</v>
      </c>
      <c r="C33" s="26">
        <v>13800.0</v>
      </c>
      <c r="D33" s="26">
        <v>2000.0</v>
      </c>
      <c r="E33" s="26">
        <v>2600.0</v>
      </c>
      <c r="F33" s="26">
        <v>16600.0</v>
      </c>
      <c r="G33" s="5"/>
      <c r="H33" s="2"/>
      <c r="I33" s="2"/>
      <c r="J33" s="2"/>
      <c r="K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5" t="s">
        <v>71</v>
      </c>
      <c r="B34" s="26">
        <v>19400.0</v>
      </c>
      <c r="C34" s="26">
        <v>8400.0</v>
      </c>
      <c r="D34" s="26">
        <v>16600.0</v>
      </c>
      <c r="E34" s="26">
        <v>6300.0</v>
      </c>
      <c r="F34" s="26">
        <v>17100.0</v>
      </c>
      <c r="G34" s="5"/>
      <c r="H34" s="2"/>
      <c r="I34" s="2"/>
      <c r="J34" s="2"/>
      <c r="K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5" t="s">
        <v>73</v>
      </c>
      <c r="B35" s="26">
        <v>6700.0</v>
      </c>
      <c r="C35" s="26">
        <v>8700.0</v>
      </c>
      <c r="D35" s="26">
        <v>10400.0</v>
      </c>
      <c r="E35" s="26">
        <v>8600.0</v>
      </c>
      <c r="F35" s="26">
        <v>15100.0</v>
      </c>
      <c r="G35" s="5"/>
      <c r="H35" s="2"/>
      <c r="I35" s="2"/>
      <c r="J35" s="2"/>
      <c r="K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5" t="s">
        <v>75</v>
      </c>
      <c r="B36" s="26">
        <v>15900.0</v>
      </c>
      <c r="C36" s="26">
        <v>9200.0</v>
      </c>
      <c r="D36" s="26">
        <v>10900.0</v>
      </c>
      <c r="E36" s="26">
        <v>4600.0</v>
      </c>
      <c r="F36" s="26">
        <v>1000.0</v>
      </c>
      <c r="G36" s="5"/>
      <c r="H36" s="2"/>
      <c r="I36" s="2"/>
      <c r="J36" s="2"/>
      <c r="K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5" t="s">
        <v>77</v>
      </c>
      <c r="B37" s="26">
        <v>7500.0</v>
      </c>
      <c r="C37" s="26">
        <v>10800.0</v>
      </c>
      <c r="D37" s="26">
        <v>2800.0</v>
      </c>
      <c r="E37" s="26">
        <v>17100.0</v>
      </c>
      <c r="F37" s="26">
        <v>15700.0</v>
      </c>
      <c r="G37" s="5"/>
      <c r="H37" s="2"/>
      <c r="I37" s="2"/>
      <c r="J37" s="2"/>
      <c r="K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5" t="s">
        <v>79</v>
      </c>
      <c r="B38" s="26">
        <v>9700.0</v>
      </c>
      <c r="C38" s="26">
        <v>5200.0</v>
      </c>
      <c r="D38" s="26">
        <v>13300.0</v>
      </c>
      <c r="E38" s="26">
        <v>10600.0</v>
      </c>
      <c r="F38" s="26">
        <v>8300.0</v>
      </c>
      <c r="G38" s="5"/>
      <c r="H38" s="2"/>
      <c r="I38" s="2"/>
      <c r="J38" s="2"/>
      <c r="K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5" t="s">
        <v>81</v>
      </c>
      <c r="B39" s="26">
        <v>14600.0</v>
      </c>
      <c r="C39" s="26">
        <v>18700.0</v>
      </c>
      <c r="D39" s="26">
        <v>7700.0</v>
      </c>
      <c r="E39" s="26">
        <v>5000.0</v>
      </c>
      <c r="F39" s="26">
        <v>10300.0</v>
      </c>
      <c r="G39" s="5"/>
      <c r="H39" s="2"/>
      <c r="I39" s="2"/>
      <c r="J39" s="2"/>
      <c r="K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5" t="s">
        <v>83</v>
      </c>
      <c r="B40" s="26">
        <v>3800.0</v>
      </c>
      <c r="C40" s="26">
        <v>12400.0</v>
      </c>
      <c r="D40" s="26">
        <v>13500.0</v>
      </c>
      <c r="E40" s="26">
        <v>15800.0</v>
      </c>
      <c r="F40" s="26">
        <v>1000.0</v>
      </c>
      <c r="G40" s="5"/>
      <c r="H40" s="2"/>
      <c r="I40" s="2"/>
      <c r="J40" s="2"/>
      <c r="K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5" t="s">
        <v>85</v>
      </c>
      <c r="B41" s="26">
        <v>5400.0</v>
      </c>
      <c r="C41" s="26">
        <v>2000.0</v>
      </c>
      <c r="D41" s="26">
        <v>11000.0</v>
      </c>
      <c r="E41" s="26">
        <v>19000.0</v>
      </c>
      <c r="F41" s="26">
        <v>7000.0</v>
      </c>
      <c r="G41" s="5"/>
      <c r="H41" s="2"/>
      <c r="I41" s="2"/>
      <c r="J41" s="2"/>
      <c r="K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5" t="s">
        <v>87</v>
      </c>
      <c r="B42" s="26">
        <v>8400.0</v>
      </c>
      <c r="C42" s="26">
        <v>6300.0</v>
      </c>
      <c r="D42" s="26">
        <v>4000.0</v>
      </c>
      <c r="E42" s="26">
        <v>11600.0</v>
      </c>
      <c r="F42" s="26">
        <v>19100.0</v>
      </c>
      <c r="G42" s="5"/>
      <c r="H42" s="2"/>
      <c r="I42" s="2"/>
      <c r="J42" s="2"/>
      <c r="K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5" t="s">
        <v>89</v>
      </c>
      <c r="B43" s="26">
        <v>7800.0</v>
      </c>
      <c r="C43" s="26">
        <v>8700.0</v>
      </c>
      <c r="D43" s="26">
        <v>17100.0</v>
      </c>
      <c r="E43" s="26">
        <v>10900.0</v>
      </c>
      <c r="F43" s="26">
        <v>14900.0</v>
      </c>
      <c r="G43" s="5"/>
      <c r="H43" s="2"/>
      <c r="I43" s="2"/>
      <c r="J43" s="2"/>
      <c r="K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5" t="s">
        <v>91</v>
      </c>
      <c r="B44" s="26">
        <v>12500.0</v>
      </c>
      <c r="C44" s="26">
        <v>16800.0</v>
      </c>
      <c r="D44" s="26">
        <v>13400.0</v>
      </c>
      <c r="E44" s="26">
        <v>5000.0</v>
      </c>
      <c r="F44" s="26">
        <v>4500.0</v>
      </c>
      <c r="G44" s="5"/>
      <c r="H44" s="2"/>
      <c r="I44" s="2"/>
      <c r="J44" s="2"/>
      <c r="K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5" t="s">
        <v>93</v>
      </c>
      <c r="B45" s="26">
        <v>12500.0</v>
      </c>
      <c r="C45" s="26">
        <v>6600.0</v>
      </c>
      <c r="D45" s="26">
        <v>6100.0</v>
      </c>
      <c r="E45" s="26">
        <v>17800.0</v>
      </c>
      <c r="F45" s="26">
        <v>19400.0</v>
      </c>
      <c r="G45" s="5"/>
      <c r="H45" s="2"/>
      <c r="I45" s="2"/>
      <c r="J45" s="2"/>
      <c r="K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" t="s">
        <v>95</v>
      </c>
      <c r="B46" s="26">
        <v>16500.0</v>
      </c>
      <c r="C46" s="26">
        <v>14200.0</v>
      </c>
      <c r="D46" s="26">
        <v>7300.0</v>
      </c>
      <c r="E46" s="26">
        <v>10900.0</v>
      </c>
      <c r="F46" s="26">
        <v>14900.0</v>
      </c>
      <c r="G46" s="5"/>
      <c r="H46" s="2"/>
      <c r="I46" s="2"/>
      <c r="J46" s="2"/>
      <c r="K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5" t="s">
        <v>97</v>
      </c>
      <c r="B47" s="26">
        <v>6100.0</v>
      </c>
      <c r="C47" s="26">
        <v>14100.0</v>
      </c>
      <c r="D47" s="26">
        <v>4700.0</v>
      </c>
      <c r="E47" s="26">
        <v>16900.0</v>
      </c>
      <c r="F47" s="26">
        <v>19800.0</v>
      </c>
      <c r="G47" s="5"/>
      <c r="H47" s="2"/>
      <c r="I47" s="2"/>
      <c r="J47" s="2"/>
      <c r="K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5" t="s">
        <v>99</v>
      </c>
      <c r="B48" s="26">
        <v>15200.0</v>
      </c>
      <c r="C48" s="26">
        <v>7200.0</v>
      </c>
      <c r="D48" s="26">
        <v>11600.0</v>
      </c>
      <c r="E48" s="26">
        <v>8800.0</v>
      </c>
      <c r="F48" s="26">
        <v>13500.0</v>
      </c>
      <c r="G48" s="5"/>
      <c r="H48" s="2"/>
      <c r="I48" s="2"/>
      <c r="J48" s="2"/>
      <c r="K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5" t="s">
        <v>101</v>
      </c>
      <c r="B49" s="26">
        <v>5700.0</v>
      </c>
      <c r="C49" s="26">
        <v>11200.0</v>
      </c>
      <c r="D49" s="26">
        <v>3600.0</v>
      </c>
      <c r="E49" s="26">
        <v>5600.0</v>
      </c>
      <c r="F49" s="26">
        <v>6100.0</v>
      </c>
      <c r="G49" s="5"/>
      <c r="H49" s="2"/>
      <c r="I49" s="2"/>
      <c r="J49" s="2"/>
      <c r="K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5" t="s">
        <v>103</v>
      </c>
      <c r="B50" s="26">
        <v>18200.0</v>
      </c>
      <c r="C50" s="26">
        <v>7900.0</v>
      </c>
      <c r="D50" s="26">
        <v>4800.0</v>
      </c>
      <c r="E50" s="26">
        <v>4200.0</v>
      </c>
      <c r="F50" s="26">
        <v>14500.0</v>
      </c>
      <c r="G50" s="5"/>
      <c r="H50" s="2"/>
      <c r="I50" s="2"/>
      <c r="J50" s="2"/>
      <c r="K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5" t="s">
        <v>105</v>
      </c>
      <c r="B51" s="26">
        <v>7600.0</v>
      </c>
      <c r="C51" s="26">
        <v>16100.0</v>
      </c>
      <c r="D51" s="26">
        <v>8200.0</v>
      </c>
      <c r="E51" s="26">
        <v>19200.0</v>
      </c>
      <c r="F51" s="26">
        <v>2900.0</v>
      </c>
      <c r="G51" s="5"/>
      <c r="H51" s="2"/>
      <c r="I51" s="2"/>
      <c r="J51" s="2"/>
      <c r="K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5" t="s">
        <v>107</v>
      </c>
      <c r="B52" s="26">
        <v>3000.0</v>
      </c>
      <c r="C52" s="26">
        <v>19800.0</v>
      </c>
      <c r="D52" s="26">
        <v>15500.0</v>
      </c>
      <c r="E52" s="26">
        <v>7000.0</v>
      </c>
      <c r="F52" s="26">
        <v>11200.0</v>
      </c>
      <c r="G52" s="5"/>
      <c r="H52" s="2"/>
      <c r="I52" s="2"/>
      <c r="J52" s="2"/>
      <c r="K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5" t="s">
        <v>109</v>
      </c>
      <c r="B53" s="26">
        <v>10000.0</v>
      </c>
      <c r="C53" s="26">
        <v>10500.0</v>
      </c>
      <c r="D53" s="26">
        <v>16600.0</v>
      </c>
      <c r="E53" s="26">
        <v>2100.0</v>
      </c>
      <c r="F53" s="26">
        <v>3600.0</v>
      </c>
      <c r="G53" s="5"/>
      <c r="H53" s="2"/>
      <c r="I53" s="2"/>
      <c r="J53" s="2"/>
      <c r="K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5" t="s">
        <v>111</v>
      </c>
      <c r="B54" s="26">
        <v>10100.0</v>
      </c>
      <c r="C54" s="26">
        <v>13700.0</v>
      </c>
      <c r="D54" s="26">
        <v>5700.0</v>
      </c>
      <c r="E54" s="26">
        <v>18800.0</v>
      </c>
      <c r="F54" s="26">
        <v>10200.0</v>
      </c>
      <c r="G54" s="5"/>
      <c r="H54" s="2"/>
      <c r="I54" s="2"/>
      <c r="J54" s="2"/>
      <c r="K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5" t="s">
        <v>113</v>
      </c>
      <c r="B55" s="26">
        <v>9200.0</v>
      </c>
      <c r="C55" s="26">
        <v>1600.0</v>
      </c>
      <c r="D55" s="26">
        <v>5000.0</v>
      </c>
      <c r="E55" s="26">
        <v>14400.0</v>
      </c>
      <c r="F55" s="26">
        <v>15100.0</v>
      </c>
      <c r="G55" s="5"/>
      <c r="H55" s="2"/>
      <c r="I55" s="2"/>
      <c r="J55" s="2"/>
      <c r="K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5" t="s">
        <v>115</v>
      </c>
      <c r="B56" s="26">
        <v>8400.0</v>
      </c>
      <c r="C56" s="26">
        <v>16100.0</v>
      </c>
      <c r="D56" s="26">
        <v>11500.0</v>
      </c>
      <c r="E56" s="26">
        <v>7700.0</v>
      </c>
      <c r="F56" s="26">
        <v>17400.0</v>
      </c>
      <c r="G56" s="5"/>
      <c r="H56" s="2"/>
      <c r="I56" s="2"/>
      <c r="J56" s="2"/>
      <c r="K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5" t="s">
        <v>117</v>
      </c>
      <c r="B57" s="26">
        <v>9900.0</v>
      </c>
      <c r="C57" s="26">
        <v>6800.0</v>
      </c>
      <c r="D57" s="26">
        <v>1300.0</v>
      </c>
      <c r="E57" s="26">
        <v>13700.0</v>
      </c>
      <c r="F57" s="26">
        <v>7500.0</v>
      </c>
      <c r="G57" s="5"/>
      <c r="H57" s="2"/>
      <c r="I57" s="2"/>
      <c r="J57" s="2"/>
      <c r="K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5" t="s">
        <v>119</v>
      </c>
      <c r="B58" s="26">
        <v>2200.0</v>
      </c>
      <c r="C58" s="26">
        <v>7200.0</v>
      </c>
      <c r="D58" s="26">
        <v>11100.0</v>
      </c>
      <c r="E58" s="26">
        <v>7500.0</v>
      </c>
      <c r="F58" s="26">
        <v>6200.0</v>
      </c>
      <c r="G58" s="5"/>
      <c r="H58" s="2"/>
      <c r="I58" s="2"/>
      <c r="J58" s="2"/>
      <c r="K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5" t="s">
        <v>121</v>
      </c>
      <c r="B59" s="26">
        <v>5000.0</v>
      </c>
      <c r="C59" s="26">
        <v>15200.0</v>
      </c>
      <c r="D59" s="26">
        <v>6800.0</v>
      </c>
      <c r="E59" s="26">
        <v>7700.0</v>
      </c>
      <c r="F59" s="26">
        <v>10300.0</v>
      </c>
      <c r="G59" s="5"/>
      <c r="H59" s="2"/>
      <c r="I59" s="2"/>
      <c r="J59" s="2"/>
      <c r="K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5" t="s">
        <v>123</v>
      </c>
      <c r="B60" s="26">
        <v>6100.0</v>
      </c>
      <c r="C60" s="26">
        <v>13200.0</v>
      </c>
      <c r="D60" s="26">
        <v>6200.0</v>
      </c>
      <c r="E60" s="26">
        <v>9400.0</v>
      </c>
      <c r="F60" s="26">
        <v>5000.0</v>
      </c>
      <c r="G60" s="5"/>
      <c r="H60" s="2"/>
      <c r="I60" s="2"/>
      <c r="J60" s="2"/>
      <c r="K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5" t="s">
        <v>125</v>
      </c>
      <c r="B61" s="26">
        <v>13400.0</v>
      </c>
      <c r="C61" s="26">
        <v>5500.0</v>
      </c>
      <c r="D61" s="26">
        <v>16800.0</v>
      </c>
      <c r="E61" s="26">
        <v>19300.0</v>
      </c>
      <c r="F61" s="26">
        <v>6000.0</v>
      </c>
      <c r="G61" s="5"/>
      <c r="H61" s="2"/>
      <c r="I61" s="2"/>
      <c r="J61" s="2"/>
      <c r="K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5" t="s">
        <v>127</v>
      </c>
      <c r="B62" s="26">
        <v>6800.0</v>
      </c>
      <c r="C62" s="26">
        <v>19100.0</v>
      </c>
      <c r="D62" s="26">
        <v>7200.0</v>
      </c>
      <c r="E62" s="26">
        <v>12500.0</v>
      </c>
      <c r="F62" s="26">
        <v>17000.0</v>
      </c>
      <c r="G62" s="5"/>
      <c r="H62" s="2"/>
      <c r="I62" s="2"/>
      <c r="J62" s="2"/>
      <c r="K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5" t="s">
        <v>129</v>
      </c>
      <c r="B63" s="26">
        <v>17300.0</v>
      </c>
      <c r="C63" s="26">
        <v>2100.0</v>
      </c>
      <c r="D63" s="26">
        <v>5900.0</v>
      </c>
      <c r="E63" s="26">
        <v>3300.0</v>
      </c>
      <c r="F63" s="26">
        <v>5200.0</v>
      </c>
      <c r="G63" s="5"/>
      <c r="H63" s="2"/>
      <c r="I63" s="2"/>
      <c r="J63" s="2"/>
      <c r="K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5" t="s">
        <v>131</v>
      </c>
      <c r="B64" s="26">
        <v>10900.0</v>
      </c>
      <c r="C64" s="26">
        <v>15100.0</v>
      </c>
      <c r="D64" s="26">
        <v>10600.0</v>
      </c>
      <c r="E64" s="26">
        <v>19900.0</v>
      </c>
      <c r="F64" s="26">
        <v>4200.0</v>
      </c>
      <c r="G64" s="5"/>
      <c r="H64" s="2"/>
      <c r="I64" s="2"/>
      <c r="J64" s="2"/>
      <c r="K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5" t="s">
        <v>133</v>
      </c>
      <c r="B65" s="26">
        <v>16500.0</v>
      </c>
      <c r="C65" s="26">
        <v>14000.0</v>
      </c>
      <c r="D65" s="26">
        <v>18000.0</v>
      </c>
      <c r="E65" s="26">
        <v>6000.0</v>
      </c>
      <c r="F65" s="26">
        <v>13100.0</v>
      </c>
      <c r="G65" s="5"/>
      <c r="H65" s="2"/>
      <c r="I65" s="2"/>
      <c r="J65" s="2"/>
      <c r="K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5" t="s">
        <v>135</v>
      </c>
      <c r="B66" s="26">
        <v>14700.0</v>
      </c>
      <c r="C66" s="26">
        <v>6100.0</v>
      </c>
      <c r="D66" s="26">
        <v>17700.0</v>
      </c>
      <c r="E66" s="26">
        <v>12100.0</v>
      </c>
      <c r="F66" s="26">
        <v>1300.0</v>
      </c>
      <c r="G66" s="5"/>
      <c r="H66" s="2"/>
      <c r="I66" s="2"/>
      <c r="J66" s="2"/>
      <c r="K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5" t="s">
        <v>137</v>
      </c>
      <c r="B67" s="26">
        <v>12000.0</v>
      </c>
      <c r="C67" s="26">
        <v>2400.0</v>
      </c>
      <c r="D67" s="26">
        <v>1100.0</v>
      </c>
      <c r="E67" s="26">
        <v>3300.0</v>
      </c>
      <c r="F67" s="26">
        <v>15300.0</v>
      </c>
      <c r="G67" s="5"/>
      <c r="H67" s="2"/>
      <c r="I67" s="2"/>
      <c r="J67" s="2"/>
      <c r="K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5" t="s">
        <v>139</v>
      </c>
      <c r="B68" s="26">
        <v>3700.0</v>
      </c>
      <c r="C68" s="26">
        <v>8000.0</v>
      </c>
      <c r="D68" s="26">
        <v>19600.0</v>
      </c>
      <c r="E68" s="26">
        <v>8100.0</v>
      </c>
      <c r="F68" s="26">
        <v>6800.0</v>
      </c>
      <c r="G68" s="5"/>
      <c r="H68" s="2"/>
      <c r="I68" s="2"/>
      <c r="J68" s="2"/>
      <c r="K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5" t="s">
        <v>141</v>
      </c>
      <c r="B69" s="26">
        <v>4300.0</v>
      </c>
      <c r="C69" s="26">
        <v>17500.0</v>
      </c>
      <c r="D69" s="26">
        <v>1500.0</v>
      </c>
      <c r="E69" s="26">
        <v>6000.0</v>
      </c>
      <c r="F69" s="26">
        <v>12700.0</v>
      </c>
      <c r="G69" s="5"/>
      <c r="H69" s="2"/>
      <c r="I69" s="2"/>
      <c r="J69" s="2"/>
      <c r="K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5" t="s">
        <v>143</v>
      </c>
      <c r="B70" s="26">
        <v>16900.0</v>
      </c>
      <c r="C70" s="26">
        <v>10000.0</v>
      </c>
      <c r="D70" s="26">
        <v>16500.0</v>
      </c>
      <c r="E70" s="26">
        <v>18800.0</v>
      </c>
      <c r="F70" s="26">
        <v>5600.0</v>
      </c>
      <c r="G70" s="5"/>
      <c r="H70" s="2"/>
      <c r="I70" s="2"/>
      <c r="J70" s="2"/>
      <c r="K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5" t="s">
        <v>145</v>
      </c>
      <c r="B71" s="26">
        <v>14900.0</v>
      </c>
      <c r="C71" s="26">
        <v>4500.0</v>
      </c>
      <c r="D71" s="26">
        <v>17100.0</v>
      </c>
      <c r="E71" s="26">
        <v>1700.0</v>
      </c>
      <c r="F71" s="26">
        <v>11100.0</v>
      </c>
      <c r="G71" s="5"/>
      <c r="H71" s="2"/>
      <c r="I71" s="2"/>
      <c r="J71" s="2"/>
      <c r="K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5" t="s">
        <v>147</v>
      </c>
      <c r="B72" s="26">
        <v>19300.0</v>
      </c>
      <c r="C72" s="26">
        <v>17500.0</v>
      </c>
      <c r="D72" s="26">
        <v>13500.0</v>
      </c>
      <c r="E72" s="26">
        <v>6700.0</v>
      </c>
      <c r="F72" s="26">
        <v>10200.0</v>
      </c>
      <c r="G72" s="5"/>
      <c r="H72" s="2"/>
      <c r="I72" s="2"/>
      <c r="J72" s="2"/>
      <c r="K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5" t="s">
        <v>149</v>
      </c>
      <c r="B73" s="26">
        <v>11200.0</v>
      </c>
      <c r="C73" s="26">
        <v>8700.0</v>
      </c>
      <c r="D73" s="26">
        <v>10700.0</v>
      </c>
      <c r="E73" s="26">
        <v>14900.0</v>
      </c>
      <c r="F73" s="26">
        <v>8300.0</v>
      </c>
      <c r="G73" s="5"/>
      <c r="H73" s="2"/>
      <c r="I73" s="2"/>
      <c r="J73" s="2"/>
      <c r="K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5" t="s">
        <v>151</v>
      </c>
      <c r="B74" s="26">
        <v>8100.0</v>
      </c>
      <c r="C74" s="26">
        <v>10500.0</v>
      </c>
      <c r="D74" s="26">
        <v>14600.0</v>
      </c>
      <c r="E74" s="26">
        <v>19200.0</v>
      </c>
      <c r="F74" s="26">
        <v>18100.0</v>
      </c>
      <c r="G74" s="5"/>
      <c r="H74" s="2"/>
      <c r="I74" s="2"/>
      <c r="J74" s="2"/>
      <c r="K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5" t="s">
        <v>153</v>
      </c>
      <c r="B75" s="26">
        <v>9700.0</v>
      </c>
      <c r="C75" s="26">
        <v>15600.0</v>
      </c>
      <c r="D75" s="26">
        <v>17400.0</v>
      </c>
      <c r="E75" s="26">
        <v>10400.0</v>
      </c>
      <c r="F75" s="26">
        <v>6200.0</v>
      </c>
      <c r="G75" s="5"/>
      <c r="H75" s="2"/>
      <c r="I75" s="2"/>
      <c r="J75" s="2"/>
      <c r="K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5" t="s">
        <v>155</v>
      </c>
      <c r="B76" s="26">
        <v>16900.0</v>
      </c>
      <c r="C76" s="26">
        <v>19700.0</v>
      </c>
      <c r="D76" s="26">
        <v>2200.0</v>
      </c>
      <c r="E76" s="26">
        <v>13700.0</v>
      </c>
      <c r="F76" s="26">
        <v>19700.0</v>
      </c>
      <c r="G76" s="5"/>
      <c r="H76" s="2"/>
      <c r="I76" s="2"/>
      <c r="J76" s="2"/>
      <c r="K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5" t="s">
        <v>157</v>
      </c>
      <c r="B77" s="26">
        <v>5800.0</v>
      </c>
      <c r="C77" s="26">
        <v>10300.0</v>
      </c>
      <c r="D77" s="26">
        <v>19400.0</v>
      </c>
      <c r="E77" s="26">
        <v>3200.0</v>
      </c>
      <c r="F77" s="26">
        <v>17000.0</v>
      </c>
      <c r="G77" s="5"/>
      <c r="H77" s="2"/>
      <c r="I77" s="2"/>
      <c r="J77" s="2"/>
      <c r="K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5" t="s">
        <v>159</v>
      </c>
      <c r="B78" s="26">
        <v>15200.0</v>
      </c>
      <c r="C78" s="26">
        <v>8300.0</v>
      </c>
      <c r="D78" s="26">
        <v>1600.0</v>
      </c>
      <c r="E78" s="26">
        <v>14200.0</v>
      </c>
      <c r="F78" s="26">
        <v>18700.0</v>
      </c>
      <c r="G78" s="5"/>
      <c r="H78" s="2"/>
      <c r="I78" s="2"/>
      <c r="J78" s="2"/>
      <c r="K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5" t="s">
        <v>161</v>
      </c>
      <c r="B79" s="26">
        <v>2100.0</v>
      </c>
      <c r="C79" s="26">
        <v>19400.0</v>
      </c>
      <c r="D79" s="26">
        <v>2700.0</v>
      </c>
      <c r="E79" s="26">
        <v>1200.0</v>
      </c>
      <c r="F79" s="26">
        <v>8100.0</v>
      </c>
      <c r="G79" s="5"/>
      <c r="H79" s="2"/>
      <c r="I79" s="2"/>
      <c r="J79" s="2"/>
      <c r="K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5" t="s">
        <v>163</v>
      </c>
      <c r="B80" s="26">
        <v>3100.0</v>
      </c>
      <c r="C80" s="26">
        <v>7400.0</v>
      </c>
      <c r="D80" s="26">
        <v>6800.0</v>
      </c>
      <c r="E80" s="26">
        <v>17600.0</v>
      </c>
      <c r="F80" s="26">
        <v>18300.0</v>
      </c>
      <c r="G80" s="5"/>
      <c r="H80" s="2"/>
      <c r="I80" s="2"/>
      <c r="J80" s="2"/>
      <c r="K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5" t="s">
        <v>165</v>
      </c>
      <c r="B81" s="26">
        <v>1100.0</v>
      </c>
      <c r="C81" s="26">
        <v>16900.0</v>
      </c>
      <c r="D81" s="26">
        <v>16300.0</v>
      </c>
      <c r="E81" s="26">
        <v>4300.0</v>
      </c>
      <c r="F81" s="26">
        <v>8400.0</v>
      </c>
      <c r="G81" s="5"/>
      <c r="H81" s="2"/>
      <c r="I81" s="2"/>
      <c r="J81" s="2"/>
      <c r="K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5" t="s">
        <v>167</v>
      </c>
      <c r="B82" s="26">
        <v>16100.0</v>
      </c>
      <c r="C82" s="26">
        <v>11800.0</v>
      </c>
      <c r="D82" s="26">
        <v>3100.0</v>
      </c>
      <c r="E82" s="26">
        <v>3400.0</v>
      </c>
      <c r="F82" s="26">
        <v>8500.0</v>
      </c>
      <c r="G82" s="5"/>
      <c r="H82" s="2"/>
      <c r="I82" s="2"/>
      <c r="J82" s="2"/>
      <c r="K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5" t="s">
        <v>169</v>
      </c>
      <c r="B83" s="26">
        <v>16200.0</v>
      </c>
      <c r="C83" s="26">
        <v>9500.0</v>
      </c>
      <c r="D83" s="26">
        <v>7500.0</v>
      </c>
      <c r="E83" s="26">
        <v>11500.0</v>
      </c>
      <c r="F83" s="26">
        <v>12700.0</v>
      </c>
      <c r="G83" s="5"/>
      <c r="H83" s="2"/>
      <c r="I83" s="2"/>
      <c r="J83" s="2"/>
      <c r="K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5" t="s">
        <v>171</v>
      </c>
      <c r="B84" s="26">
        <v>7600.0</v>
      </c>
      <c r="C84" s="26">
        <v>15200.0</v>
      </c>
      <c r="D84" s="26">
        <v>3500.0</v>
      </c>
      <c r="E84" s="26">
        <v>8700.0</v>
      </c>
      <c r="F84" s="26">
        <v>7100.0</v>
      </c>
      <c r="G84" s="5"/>
      <c r="H84" s="2"/>
      <c r="I84" s="2"/>
      <c r="J84" s="2"/>
      <c r="K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5" t="s">
        <v>173</v>
      </c>
      <c r="B85" s="26">
        <v>14600.0</v>
      </c>
      <c r="C85" s="26">
        <v>2600.0</v>
      </c>
      <c r="D85" s="26">
        <v>15000.0</v>
      </c>
      <c r="E85" s="26">
        <v>10900.0</v>
      </c>
      <c r="F85" s="26">
        <v>11700.0</v>
      </c>
      <c r="G85" s="5"/>
      <c r="H85" s="2"/>
      <c r="I85" s="2"/>
      <c r="J85" s="2"/>
      <c r="K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5" t="s">
        <v>175</v>
      </c>
      <c r="B86" s="26">
        <v>9400.0</v>
      </c>
      <c r="C86" s="26">
        <v>13500.0</v>
      </c>
      <c r="D86" s="26">
        <v>16800.0</v>
      </c>
      <c r="E86" s="26">
        <v>18800.0</v>
      </c>
      <c r="F86" s="26">
        <v>3400.0</v>
      </c>
      <c r="G86" s="5"/>
      <c r="H86" s="2"/>
      <c r="I86" s="2"/>
      <c r="J86" s="2"/>
      <c r="K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5" t="s">
        <v>177</v>
      </c>
      <c r="B87" s="26">
        <v>11900.0</v>
      </c>
      <c r="C87" s="26">
        <v>12500.0</v>
      </c>
      <c r="D87" s="26">
        <v>16100.0</v>
      </c>
      <c r="E87" s="26">
        <v>18300.0</v>
      </c>
      <c r="F87" s="26">
        <v>4400.0</v>
      </c>
      <c r="G87" s="5"/>
      <c r="H87" s="2"/>
      <c r="I87" s="2"/>
      <c r="J87" s="2"/>
      <c r="K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5" t="s">
        <v>179</v>
      </c>
      <c r="B88" s="26">
        <v>7200.0</v>
      </c>
      <c r="C88" s="26">
        <v>15600.0</v>
      </c>
      <c r="D88" s="26">
        <v>5000.0</v>
      </c>
      <c r="E88" s="26">
        <v>11200.0</v>
      </c>
      <c r="F88" s="26">
        <v>19800.0</v>
      </c>
      <c r="G88" s="5"/>
      <c r="H88" s="2"/>
      <c r="I88" s="2"/>
      <c r="J88" s="2"/>
      <c r="K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5" t="s">
        <v>181</v>
      </c>
      <c r="B89" s="26">
        <v>12100.0</v>
      </c>
      <c r="C89" s="26">
        <v>15100.0</v>
      </c>
      <c r="D89" s="26">
        <v>2100.0</v>
      </c>
      <c r="E89" s="26">
        <v>5800.0</v>
      </c>
      <c r="F89" s="26">
        <v>7200.0</v>
      </c>
      <c r="G89" s="5"/>
      <c r="H89" s="2"/>
      <c r="I89" s="2"/>
      <c r="J89" s="2"/>
      <c r="K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5" t="s">
        <v>183</v>
      </c>
      <c r="B90" s="26">
        <v>17100.0</v>
      </c>
      <c r="C90" s="26">
        <v>14800.0</v>
      </c>
      <c r="D90" s="26">
        <v>6000.0</v>
      </c>
      <c r="E90" s="26">
        <v>4400.0</v>
      </c>
      <c r="F90" s="26">
        <v>1000.0</v>
      </c>
      <c r="G90" s="5"/>
      <c r="H90" s="2"/>
      <c r="I90" s="2"/>
      <c r="J90" s="2"/>
      <c r="K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5" t="s">
        <v>185</v>
      </c>
      <c r="B91" s="26">
        <v>17000.0</v>
      </c>
      <c r="C91" s="26">
        <v>18100.0</v>
      </c>
      <c r="D91" s="26">
        <v>8300.0</v>
      </c>
      <c r="E91" s="26">
        <v>6200.0</v>
      </c>
      <c r="F91" s="26">
        <v>9600.0</v>
      </c>
      <c r="G91" s="5"/>
      <c r="H91" s="2"/>
      <c r="I91" s="2"/>
      <c r="J91" s="2"/>
      <c r="K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5" t="s">
        <v>187</v>
      </c>
      <c r="B92" s="26">
        <v>18100.0</v>
      </c>
      <c r="C92" s="26">
        <v>14200.0</v>
      </c>
      <c r="D92" s="26">
        <v>11100.0</v>
      </c>
      <c r="E92" s="26">
        <v>20000.0</v>
      </c>
      <c r="F92" s="26">
        <v>7000.0</v>
      </c>
      <c r="G92" s="5"/>
      <c r="H92" s="2"/>
      <c r="I92" s="2"/>
      <c r="J92" s="2"/>
      <c r="K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5" t="s">
        <v>189</v>
      </c>
      <c r="B93" s="26">
        <v>12900.0</v>
      </c>
      <c r="C93" s="26">
        <v>18600.0</v>
      </c>
      <c r="D93" s="26">
        <v>8000.0</v>
      </c>
      <c r="E93" s="26">
        <v>7800.0</v>
      </c>
      <c r="F93" s="26">
        <v>12000.0</v>
      </c>
      <c r="G93" s="5"/>
      <c r="H93" s="2"/>
      <c r="I93" s="2"/>
      <c r="J93" s="2"/>
      <c r="K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5" t="s">
        <v>191</v>
      </c>
      <c r="B94" s="26">
        <v>14900.0</v>
      </c>
      <c r="C94" s="26">
        <v>17500.0</v>
      </c>
      <c r="D94" s="26">
        <v>12700.0</v>
      </c>
      <c r="E94" s="26">
        <v>3900.0</v>
      </c>
      <c r="F94" s="26">
        <v>10900.0</v>
      </c>
      <c r="G94" s="5"/>
      <c r="H94" s="2"/>
      <c r="I94" s="2"/>
      <c r="J94" s="2"/>
      <c r="K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5" t="s">
        <v>193</v>
      </c>
      <c r="B95" s="26">
        <v>14200.0</v>
      </c>
      <c r="C95" s="26">
        <v>6400.0</v>
      </c>
      <c r="D95" s="26">
        <v>18300.0</v>
      </c>
      <c r="E95" s="26">
        <v>13900.0</v>
      </c>
      <c r="F95" s="26">
        <v>2900.0</v>
      </c>
      <c r="G95" s="5"/>
      <c r="H95" s="2"/>
      <c r="I95" s="2"/>
      <c r="J95" s="2"/>
      <c r="K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5" t="s">
        <v>195</v>
      </c>
      <c r="B96" s="26">
        <v>9500.0</v>
      </c>
      <c r="C96" s="26">
        <v>14200.0</v>
      </c>
      <c r="D96" s="26">
        <v>6800.0</v>
      </c>
      <c r="E96" s="26">
        <v>9200.0</v>
      </c>
      <c r="F96" s="26">
        <v>8600.0</v>
      </c>
      <c r="G96" s="5"/>
      <c r="H96" s="2"/>
      <c r="I96" s="2"/>
      <c r="J96" s="2"/>
      <c r="K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5" t="s">
        <v>197</v>
      </c>
      <c r="B97" s="26">
        <v>17200.0</v>
      </c>
      <c r="C97" s="26">
        <v>10100.0</v>
      </c>
      <c r="D97" s="26">
        <v>9400.0</v>
      </c>
      <c r="E97" s="26">
        <v>3900.0</v>
      </c>
      <c r="F97" s="26">
        <v>1400.0</v>
      </c>
      <c r="G97" s="5"/>
      <c r="H97" s="2"/>
      <c r="I97" s="2"/>
      <c r="J97" s="2"/>
      <c r="K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5" t="s">
        <v>199</v>
      </c>
      <c r="B98" s="26">
        <v>9400.0</v>
      </c>
      <c r="C98" s="26">
        <v>16400.0</v>
      </c>
      <c r="D98" s="26">
        <v>4400.0</v>
      </c>
      <c r="E98" s="26">
        <v>20000.0</v>
      </c>
      <c r="F98" s="26">
        <v>4900.0</v>
      </c>
      <c r="G98" s="5"/>
      <c r="H98" s="2"/>
      <c r="I98" s="2"/>
      <c r="J98" s="2"/>
      <c r="K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5" t="s">
        <v>201</v>
      </c>
      <c r="B99" s="26">
        <v>12500.0</v>
      </c>
      <c r="C99" s="26">
        <v>3600.0</v>
      </c>
      <c r="D99" s="26">
        <v>5200.0</v>
      </c>
      <c r="E99" s="26">
        <v>18700.0</v>
      </c>
      <c r="F99" s="26">
        <v>3100.0</v>
      </c>
      <c r="G99" s="5"/>
      <c r="H99" s="2"/>
      <c r="I99" s="2"/>
      <c r="J99" s="2"/>
      <c r="K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5" t="s">
        <v>203</v>
      </c>
      <c r="B100" s="26">
        <v>18600.0</v>
      </c>
      <c r="C100" s="26">
        <v>14800.0</v>
      </c>
      <c r="D100" s="26">
        <v>16200.0</v>
      </c>
      <c r="E100" s="26">
        <v>17000.0</v>
      </c>
      <c r="F100" s="26">
        <v>15200.0</v>
      </c>
      <c r="G100" s="5"/>
      <c r="H100" s="2"/>
      <c r="I100" s="2"/>
      <c r="J100" s="2"/>
      <c r="K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5" t="s">
        <v>205</v>
      </c>
      <c r="B101" s="26">
        <v>4700.0</v>
      </c>
      <c r="C101" s="26">
        <v>4000.0</v>
      </c>
      <c r="D101" s="26">
        <v>16800.0</v>
      </c>
      <c r="E101" s="26">
        <v>11900.0</v>
      </c>
      <c r="F101" s="26">
        <v>8500.0</v>
      </c>
      <c r="G101" s="5"/>
      <c r="H101" s="2"/>
      <c r="I101" s="2"/>
      <c r="J101" s="2"/>
      <c r="K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5"/>
      <c r="B102" s="2"/>
      <c r="C102" s="10"/>
      <c r="D102" s="5"/>
      <c r="E102" s="5"/>
      <c r="F102" s="5"/>
      <c r="G102" s="5"/>
      <c r="H102" s="2"/>
      <c r="I102" s="2"/>
      <c r="J102" s="2"/>
      <c r="K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5"/>
      <c r="B103" s="2"/>
      <c r="C103" s="10"/>
      <c r="D103" s="5"/>
      <c r="E103" s="5"/>
      <c r="F103" s="5"/>
      <c r="G103" s="5"/>
      <c r="H103" s="2"/>
      <c r="I103" s="2"/>
      <c r="J103" s="2"/>
      <c r="K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5"/>
      <c r="B104" s="2"/>
      <c r="C104" s="10"/>
      <c r="D104" s="5"/>
      <c r="E104" s="5"/>
      <c r="F104" s="5"/>
      <c r="G104" s="5"/>
      <c r="H104" s="2"/>
      <c r="I104" s="2"/>
      <c r="J104" s="2"/>
      <c r="K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5"/>
      <c r="B105" s="2"/>
      <c r="C105" s="10"/>
      <c r="D105" s="5"/>
      <c r="E105" s="5"/>
      <c r="F105" s="5"/>
      <c r="G105" s="5"/>
      <c r="H105" s="2"/>
      <c r="I105" s="2"/>
      <c r="J105" s="2"/>
      <c r="K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5"/>
      <c r="B106" s="2"/>
      <c r="C106" s="10"/>
      <c r="D106" s="5"/>
      <c r="E106" s="5"/>
      <c r="F106" s="5"/>
      <c r="G106" s="5"/>
      <c r="H106" s="2"/>
      <c r="I106" s="2"/>
      <c r="J106" s="2"/>
      <c r="K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5"/>
      <c r="B107" s="2"/>
      <c r="C107" s="10"/>
      <c r="D107" s="5"/>
      <c r="E107" s="5"/>
      <c r="F107" s="5"/>
      <c r="G107" s="5"/>
      <c r="H107" s="2"/>
      <c r="I107" s="2"/>
      <c r="J107" s="2"/>
      <c r="K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5"/>
      <c r="B108" s="2"/>
      <c r="C108" s="10"/>
      <c r="D108" s="5"/>
      <c r="E108" s="5"/>
      <c r="F108" s="5"/>
      <c r="G108" s="5"/>
      <c r="H108" s="2"/>
      <c r="I108" s="2"/>
      <c r="J108" s="2"/>
      <c r="K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5"/>
      <c r="B109" s="2"/>
      <c r="C109" s="10"/>
      <c r="D109" s="5"/>
      <c r="E109" s="5"/>
      <c r="F109" s="5"/>
      <c r="G109" s="5"/>
      <c r="H109" s="2"/>
      <c r="I109" s="2"/>
      <c r="J109" s="2"/>
      <c r="K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5"/>
      <c r="B110" s="2"/>
      <c r="C110" s="10"/>
      <c r="D110" s="5"/>
      <c r="E110" s="5"/>
      <c r="F110" s="5"/>
      <c r="G110" s="5"/>
      <c r="H110" s="2"/>
      <c r="I110" s="2"/>
      <c r="J110" s="2"/>
      <c r="K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5"/>
      <c r="B111" s="2"/>
      <c r="C111" s="10"/>
      <c r="D111" s="5"/>
      <c r="E111" s="5"/>
      <c r="F111" s="5"/>
      <c r="G111" s="5"/>
      <c r="H111" s="2"/>
      <c r="I111" s="2"/>
      <c r="J111" s="2"/>
      <c r="K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5"/>
      <c r="B112" s="2"/>
      <c r="C112" s="10"/>
      <c r="D112" s="5"/>
      <c r="E112" s="5"/>
      <c r="F112" s="5"/>
      <c r="G112" s="5"/>
      <c r="H112" s="2"/>
      <c r="I112" s="2"/>
      <c r="J112" s="2"/>
      <c r="K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5"/>
      <c r="B113" s="2"/>
      <c r="C113" s="10"/>
      <c r="D113" s="5"/>
      <c r="E113" s="5"/>
      <c r="F113" s="5"/>
      <c r="G113" s="5"/>
      <c r="H113" s="2"/>
      <c r="I113" s="2"/>
      <c r="J113" s="2"/>
      <c r="K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5"/>
      <c r="B114" s="2"/>
      <c r="C114" s="10"/>
      <c r="D114" s="5"/>
      <c r="E114" s="5"/>
      <c r="F114" s="5"/>
      <c r="G114" s="5"/>
      <c r="H114" s="2"/>
      <c r="I114" s="2"/>
      <c r="J114" s="2"/>
      <c r="K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5"/>
      <c r="B115" s="2"/>
      <c r="C115" s="10"/>
      <c r="D115" s="5"/>
      <c r="E115" s="5"/>
      <c r="F115" s="5"/>
      <c r="G115" s="5"/>
      <c r="H115" s="2"/>
      <c r="I115" s="2"/>
      <c r="J115" s="2"/>
      <c r="K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5"/>
      <c r="B116" s="2"/>
      <c r="C116" s="10"/>
      <c r="D116" s="5"/>
      <c r="E116" s="5"/>
      <c r="F116" s="5"/>
      <c r="G116" s="5"/>
      <c r="H116" s="2"/>
      <c r="I116" s="2"/>
      <c r="J116" s="2"/>
      <c r="K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5"/>
      <c r="B117" s="2"/>
      <c r="C117" s="10"/>
      <c r="D117" s="5"/>
      <c r="E117" s="5"/>
      <c r="F117" s="5"/>
      <c r="G117" s="5"/>
      <c r="H117" s="2"/>
      <c r="I117" s="2"/>
      <c r="J117" s="2"/>
      <c r="K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5"/>
      <c r="B118" s="2"/>
      <c r="C118" s="10"/>
      <c r="D118" s="5"/>
      <c r="E118" s="5"/>
      <c r="F118" s="5"/>
      <c r="G118" s="5"/>
      <c r="H118" s="2"/>
      <c r="I118" s="2"/>
      <c r="J118" s="2"/>
      <c r="K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5"/>
      <c r="B119" s="2"/>
      <c r="C119" s="10"/>
      <c r="D119" s="5"/>
      <c r="E119" s="5"/>
      <c r="F119" s="5"/>
      <c r="G119" s="5"/>
      <c r="H119" s="2"/>
      <c r="I119" s="2"/>
      <c r="J119" s="2"/>
      <c r="K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5"/>
      <c r="B120" s="2"/>
      <c r="C120" s="10"/>
      <c r="D120" s="5"/>
      <c r="E120" s="5"/>
      <c r="F120" s="5"/>
      <c r="G120" s="5"/>
      <c r="H120" s="2"/>
      <c r="I120" s="2"/>
      <c r="J120" s="2"/>
      <c r="K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5"/>
      <c r="B121" s="2"/>
      <c r="C121" s="10"/>
      <c r="D121" s="5"/>
      <c r="E121" s="5"/>
      <c r="F121" s="5"/>
      <c r="G121" s="5"/>
      <c r="H121" s="2"/>
      <c r="I121" s="2"/>
      <c r="J121" s="2"/>
      <c r="K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5"/>
      <c r="B122" s="2"/>
      <c r="C122" s="10"/>
      <c r="D122" s="5"/>
      <c r="E122" s="5"/>
      <c r="F122" s="5"/>
      <c r="G122" s="5"/>
      <c r="H122" s="2"/>
      <c r="I122" s="2"/>
      <c r="J122" s="2"/>
      <c r="K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5"/>
      <c r="B123" s="2"/>
      <c r="C123" s="10"/>
      <c r="D123" s="5"/>
      <c r="E123" s="5"/>
      <c r="F123" s="5"/>
      <c r="G123" s="5"/>
      <c r="H123" s="2"/>
      <c r="I123" s="2"/>
      <c r="J123" s="2"/>
      <c r="K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5"/>
      <c r="B124" s="2"/>
      <c r="C124" s="10"/>
      <c r="D124" s="5"/>
      <c r="E124" s="5"/>
      <c r="F124" s="5"/>
      <c r="G124" s="5"/>
      <c r="H124" s="2"/>
      <c r="I124" s="2"/>
      <c r="J124" s="2"/>
      <c r="K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5"/>
      <c r="B125" s="2"/>
      <c r="C125" s="10"/>
      <c r="D125" s="5"/>
      <c r="E125" s="5"/>
      <c r="F125" s="5"/>
      <c r="G125" s="5"/>
      <c r="H125" s="2"/>
      <c r="I125" s="2"/>
      <c r="J125" s="2"/>
      <c r="K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5"/>
      <c r="B126" s="2"/>
      <c r="C126" s="10"/>
      <c r="D126" s="5"/>
      <c r="E126" s="5"/>
      <c r="F126" s="5"/>
      <c r="G126" s="5"/>
      <c r="H126" s="2"/>
      <c r="I126" s="2"/>
      <c r="J126" s="2"/>
      <c r="K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5"/>
      <c r="B127" s="2"/>
      <c r="C127" s="10"/>
      <c r="D127" s="5"/>
      <c r="E127" s="5"/>
      <c r="F127" s="5"/>
      <c r="G127" s="5"/>
      <c r="H127" s="2"/>
      <c r="I127" s="2"/>
      <c r="J127" s="2"/>
      <c r="K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5"/>
      <c r="B128" s="2"/>
      <c r="C128" s="10"/>
      <c r="D128" s="5"/>
      <c r="E128" s="5"/>
      <c r="F128" s="5"/>
      <c r="G128" s="5"/>
      <c r="H128" s="2"/>
      <c r="I128" s="2"/>
      <c r="J128" s="2"/>
      <c r="K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5"/>
      <c r="B129" s="2"/>
      <c r="C129" s="10"/>
      <c r="D129" s="5"/>
      <c r="E129" s="5"/>
      <c r="F129" s="5"/>
      <c r="G129" s="5"/>
      <c r="H129" s="2"/>
      <c r="I129" s="2"/>
      <c r="J129" s="2"/>
      <c r="K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5"/>
      <c r="B130" s="2"/>
      <c r="C130" s="10"/>
      <c r="D130" s="5"/>
      <c r="E130" s="5"/>
      <c r="F130" s="5"/>
      <c r="G130" s="5"/>
      <c r="H130" s="2"/>
      <c r="I130" s="2"/>
      <c r="J130" s="2"/>
      <c r="K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5"/>
      <c r="B131" s="2"/>
      <c r="C131" s="10"/>
      <c r="D131" s="5"/>
      <c r="E131" s="5"/>
      <c r="F131" s="5"/>
      <c r="G131" s="5"/>
      <c r="H131" s="2"/>
      <c r="I131" s="2"/>
      <c r="J131" s="2"/>
      <c r="K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5"/>
      <c r="B132" s="2"/>
      <c r="C132" s="10"/>
      <c r="D132" s="5"/>
      <c r="E132" s="5"/>
      <c r="F132" s="5"/>
      <c r="G132" s="5"/>
      <c r="H132" s="2"/>
      <c r="I132" s="2"/>
      <c r="J132" s="2"/>
      <c r="K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5"/>
      <c r="B133" s="2"/>
      <c r="C133" s="10"/>
      <c r="D133" s="5"/>
      <c r="E133" s="5"/>
      <c r="F133" s="5"/>
      <c r="G133" s="5"/>
      <c r="H133" s="2"/>
      <c r="I133" s="2"/>
      <c r="J133" s="2"/>
      <c r="K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5"/>
      <c r="B134" s="2"/>
      <c r="C134" s="10"/>
      <c r="D134" s="5"/>
      <c r="E134" s="5"/>
      <c r="F134" s="5"/>
      <c r="G134" s="5"/>
      <c r="H134" s="2"/>
      <c r="I134" s="2"/>
      <c r="J134" s="2"/>
      <c r="K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5"/>
      <c r="B135" s="2"/>
      <c r="C135" s="10"/>
      <c r="D135" s="5"/>
      <c r="E135" s="5"/>
      <c r="F135" s="5"/>
      <c r="G135" s="5"/>
      <c r="H135" s="2"/>
      <c r="I135" s="2"/>
      <c r="J135" s="2"/>
      <c r="K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5"/>
      <c r="B136" s="2"/>
      <c r="C136" s="10"/>
      <c r="D136" s="5"/>
      <c r="E136" s="5"/>
      <c r="F136" s="5"/>
      <c r="G136" s="5"/>
      <c r="H136" s="2"/>
      <c r="I136" s="2"/>
      <c r="J136" s="2"/>
      <c r="K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5"/>
      <c r="B137" s="2"/>
      <c r="C137" s="10"/>
      <c r="D137" s="5"/>
      <c r="E137" s="5"/>
      <c r="F137" s="5"/>
      <c r="G137" s="5"/>
      <c r="H137" s="2"/>
      <c r="I137" s="2"/>
      <c r="J137" s="2"/>
      <c r="K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5"/>
      <c r="B138" s="2"/>
      <c r="C138" s="10"/>
      <c r="D138" s="5"/>
      <c r="E138" s="5"/>
      <c r="F138" s="5"/>
      <c r="G138" s="5"/>
      <c r="H138" s="2"/>
      <c r="I138" s="2"/>
      <c r="J138" s="2"/>
      <c r="K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5"/>
      <c r="B139" s="2"/>
      <c r="C139" s="10"/>
      <c r="D139" s="5"/>
      <c r="E139" s="5"/>
      <c r="F139" s="5"/>
      <c r="G139" s="5"/>
      <c r="H139" s="2"/>
      <c r="I139" s="2"/>
      <c r="J139" s="2"/>
      <c r="K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5"/>
      <c r="B140" s="2"/>
      <c r="C140" s="10"/>
      <c r="D140" s="5"/>
      <c r="E140" s="5"/>
      <c r="F140" s="5"/>
      <c r="G140" s="5"/>
      <c r="H140" s="2"/>
      <c r="I140" s="2"/>
      <c r="J140" s="2"/>
      <c r="K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5"/>
      <c r="B141" s="2"/>
      <c r="C141" s="10"/>
      <c r="D141" s="5"/>
      <c r="E141" s="5"/>
      <c r="F141" s="5"/>
      <c r="G141" s="5"/>
      <c r="H141" s="2"/>
      <c r="I141" s="2"/>
      <c r="J141" s="2"/>
      <c r="K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5"/>
      <c r="B142" s="2"/>
      <c r="C142" s="10"/>
      <c r="D142" s="5"/>
      <c r="E142" s="5"/>
      <c r="F142" s="5"/>
      <c r="G142" s="5"/>
      <c r="H142" s="2"/>
      <c r="I142" s="2"/>
      <c r="J142" s="2"/>
      <c r="K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5"/>
      <c r="B143" s="2"/>
      <c r="C143" s="10"/>
      <c r="D143" s="5"/>
      <c r="E143" s="5"/>
      <c r="F143" s="5"/>
      <c r="G143" s="5"/>
      <c r="H143" s="2"/>
      <c r="I143" s="2"/>
      <c r="J143" s="2"/>
      <c r="K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5"/>
      <c r="B144" s="2"/>
      <c r="C144" s="10"/>
      <c r="D144" s="5"/>
      <c r="E144" s="5"/>
      <c r="F144" s="5"/>
      <c r="G144" s="5"/>
      <c r="H144" s="2"/>
      <c r="I144" s="2"/>
      <c r="J144" s="2"/>
      <c r="K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5"/>
      <c r="B145" s="2"/>
      <c r="C145" s="10"/>
      <c r="D145" s="5"/>
      <c r="E145" s="5"/>
      <c r="F145" s="5"/>
      <c r="G145" s="5"/>
      <c r="H145" s="2"/>
      <c r="I145" s="2"/>
      <c r="J145" s="2"/>
      <c r="K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5"/>
      <c r="B146" s="2"/>
      <c r="C146" s="10"/>
      <c r="D146" s="5"/>
      <c r="E146" s="5"/>
      <c r="F146" s="5"/>
      <c r="G146" s="5"/>
      <c r="H146" s="2"/>
      <c r="I146" s="2"/>
      <c r="J146" s="2"/>
      <c r="K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5"/>
      <c r="B147" s="2"/>
      <c r="C147" s="10"/>
      <c r="D147" s="5"/>
      <c r="E147" s="5"/>
      <c r="F147" s="5"/>
      <c r="G147" s="5"/>
      <c r="H147" s="2"/>
      <c r="I147" s="2"/>
      <c r="J147" s="2"/>
      <c r="K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5"/>
      <c r="B148" s="2"/>
      <c r="C148" s="10"/>
      <c r="D148" s="5"/>
      <c r="E148" s="5"/>
      <c r="F148" s="5"/>
      <c r="G148" s="5"/>
      <c r="H148" s="2"/>
      <c r="I148" s="2"/>
      <c r="J148" s="2"/>
      <c r="K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5"/>
      <c r="B149" s="2"/>
      <c r="C149" s="10"/>
      <c r="D149" s="5"/>
      <c r="E149" s="5"/>
      <c r="F149" s="5"/>
      <c r="G149" s="5"/>
      <c r="H149" s="2"/>
      <c r="I149" s="2"/>
      <c r="J149" s="2"/>
      <c r="K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5"/>
      <c r="B150" s="2"/>
      <c r="C150" s="10"/>
      <c r="D150" s="5"/>
      <c r="E150" s="5"/>
      <c r="F150" s="5"/>
      <c r="G150" s="5"/>
      <c r="H150" s="2"/>
      <c r="I150" s="2"/>
      <c r="J150" s="2"/>
      <c r="K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5"/>
      <c r="B151" s="2"/>
      <c r="C151" s="10"/>
      <c r="D151" s="5"/>
      <c r="E151" s="5"/>
      <c r="F151" s="5"/>
      <c r="G151" s="5"/>
      <c r="H151" s="2"/>
      <c r="I151" s="2"/>
      <c r="J151" s="2"/>
      <c r="K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5"/>
      <c r="B152" s="2"/>
      <c r="C152" s="10"/>
      <c r="D152" s="5"/>
      <c r="E152" s="5"/>
      <c r="F152" s="5"/>
      <c r="G152" s="5"/>
      <c r="H152" s="2"/>
      <c r="I152" s="2"/>
      <c r="J152" s="2"/>
      <c r="K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5"/>
      <c r="B153" s="2"/>
      <c r="C153" s="10"/>
      <c r="D153" s="5"/>
      <c r="E153" s="5"/>
      <c r="F153" s="5"/>
      <c r="G153" s="5"/>
      <c r="H153" s="2"/>
      <c r="I153" s="2"/>
      <c r="J153" s="2"/>
      <c r="K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5"/>
      <c r="B154" s="2"/>
      <c r="C154" s="10"/>
      <c r="D154" s="5"/>
      <c r="E154" s="5"/>
      <c r="F154" s="5"/>
      <c r="G154" s="5"/>
      <c r="H154" s="2"/>
      <c r="I154" s="2"/>
      <c r="J154" s="2"/>
      <c r="K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5"/>
      <c r="B155" s="2"/>
      <c r="C155" s="10"/>
      <c r="D155" s="5"/>
      <c r="E155" s="5"/>
      <c r="F155" s="5"/>
      <c r="G155" s="5"/>
      <c r="H155" s="2"/>
      <c r="I155" s="2"/>
      <c r="J155" s="2"/>
      <c r="K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5"/>
      <c r="B156" s="2"/>
      <c r="C156" s="10"/>
      <c r="D156" s="5"/>
      <c r="E156" s="5"/>
      <c r="F156" s="5"/>
      <c r="G156" s="5"/>
      <c r="H156" s="2"/>
      <c r="I156" s="2"/>
      <c r="J156" s="2"/>
      <c r="K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5"/>
      <c r="B157" s="2"/>
      <c r="C157" s="10"/>
      <c r="D157" s="5"/>
      <c r="E157" s="5"/>
      <c r="F157" s="5"/>
      <c r="G157" s="5"/>
      <c r="H157" s="2"/>
      <c r="I157" s="2"/>
      <c r="J157" s="2"/>
      <c r="K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5"/>
      <c r="B158" s="2"/>
      <c r="C158" s="10"/>
      <c r="D158" s="5"/>
      <c r="E158" s="5"/>
      <c r="F158" s="5"/>
      <c r="G158" s="5"/>
      <c r="H158" s="2"/>
      <c r="I158" s="2"/>
      <c r="J158" s="2"/>
      <c r="K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5"/>
      <c r="B159" s="2"/>
      <c r="C159" s="10"/>
      <c r="D159" s="5"/>
      <c r="E159" s="5"/>
      <c r="F159" s="5"/>
      <c r="G159" s="5"/>
      <c r="H159" s="2"/>
      <c r="I159" s="2"/>
      <c r="J159" s="2"/>
      <c r="K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5"/>
      <c r="B160" s="2"/>
      <c r="C160" s="10"/>
      <c r="D160" s="5"/>
      <c r="E160" s="5"/>
      <c r="F160" s="5"/>
      <c r="G160" s="5"/>
      <c r="H160" s="2"/>
      <c r="I160" s="2"/>
      <c r="J160" s="2"/>
      <c r="K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5"/>
      <c r="B161" s="2"/>
      <c r="C161" s="10"/>
      <c r="D161" s="5"/>
      <c r="E161" s="5"/>
      <c r="F161" s="5"/>
      <c r="G161" s="5"/>
      <c r="H161" s="2"/>
      <c r="I161" s="2"/>
      <c r="J161" s="2"/>
      <c r="K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5"/>
      <c r="B162" s="2"/>
      <c r="C162" s="10"/>
      <c r="D162" s="5"/>
      <c r="E162" s="5"/>
      <c r="F162" s="5"/>
      <c r="G162" s="5"/>
      <c r="H162" s="2"/>
      <c r="I162" s="2"/>
      <c r="J162" s="2"/>
      <c r="K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5"/>
      <c r="B163" s="2"/>
      <c r="C163" s="10"/>
      <c r="D163" s="5"/>
      <c r="E163" s="5"/>
      <c r="F163" s="5"/>
      <c r="G163" s="5"/>
      <c r="H163" s="2"/>
      <c r="I163" s="2"/>
      <c r="J163" s="2"/>
      <c r="K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5"/>
      <c r="B164" s="2"/>
      <c r="C164" s="10"/>
      <c r="D164" s="5"/>
      <c r="E164" s="5"/>
      <c r="F164" s="5"/>
      <c r="G164" s="5"/>
      <c r="H164" s="2"/>
      <c r="I164" s="2"/>
      <c r="J164" s="2"/>
      <c r="K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5"/>
      <c r="B165" s="2"/>
      <c r="C165" s="10"/>
      <c r="D165" s="5"/>
      <c r="E165" s="5"/>
      <c r="F165" s="5"/>
      <c r="G165" s="5"/>
      <c r="H165" s="2"/>
      <c r="I165" s="2"/>
      <c r="J165" s="2"/>
      <c r="K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5"/>
      <c r="B166" s="2"/>
      <c r="C166" s="10"/>
      <c r="D166" s="5"/>
      <c r="E166" s="5"/>
      <c r="F166" s="5"/>
      <c r="G166" s="5"/>
      <c r="H166" s="2"/>
      <c r="I166" s="2"/>
      <c r="J166" s="2"/>
      <c r="K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5"/>
      <c r="B167" s="2"/>
      <c r="C167" s="10"/>
      <c r="D167" s="5"/>
      <c r="E167" s="5"/>
      <c r="F167" s="5"/>
      <c r="G167" s="5"/>
      <c r="H167" s="2"/>
      <c r="I167" s="2"/>
      <c r="J167" s="2"/>
      <c r="K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5"/>
      <c r="B168" s="2"/>
      <c r="C168" s="10"/>
      <c r="D168" s="5"/>
      <c r="E168" s="5"/>
      <c r="F168" s="5"/>
      <c r="G168" s="5"/>
      <c r="H168" s="2"/>
      <c r="I168" s="2"/>
      <c r="J168" s="2"/>
      <c r="K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5"/>
      <c r="B169" s="2"/>
      <c r="C169" s="10"/>
      <c r="D169" s="5"/>
      <c r="E169" s="5"/>
      <c r="F169" s="5"/>
      <c r="G169" s="5"/>
      <c r="H169" s="2"/>
      <c r="I169" s="2"/>
      <c r="J169" s="2"/>
      <c r="K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5"/>
      <c r="B170" s="2"/>
      <c r="C170" s="10"/>
      <c r="D170" s="5"/>
      <c r="E170" s="5"/>
      <c r="F170" s="5"/>
      <c r="G170" s="5"/>
      <c r="H170" s="2"/>
      <c r="I170" s="2"/>
      <c r="J170" s="2"/>
      <c r="K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5"/>
      <c r="B171" s="2"/>
      <c r="C171" s="10"/>
      <c r="D171" s="5"/>
      <c r="E171" s="5"/>
      <c r="F171" s="5"/>
      <c r="G171" s="5"/>
      <c r="H171" s="2"/>
      <c r="I171" s="2"/>
      <c r="J171" s="2"/>
      <c r="K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5"/>
      <c r="B172" s="2"/>
      <c r="C172" s="10"/>
      <c r="D172" s="5"/>
      <c r="E172" s="5"/>
      <c r="F172" s="5"/>
      <c r="G172" s="5"/>
      <c r="H172" s="2"/>
      <c r="I172" s="2"/>
      <c r="J172" s="2"/>
      <c r="K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5"/>
      <c r="B173" s="2"/>
      <c r="C173" s="10"/>
      <c r="D173" s="5"/>
      <c r="E173" s="5"/>
      <c r="F173" s="5"/>
      <c r="G173" s="5"/>
      <c r="H173" s="2"/>
      <c r="I173" s="2"/>
      <c r="J173" s="2"/>
      <c r="K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5"/>
      <c r="B174" s="2"/>
      <c r="C174" s="10"/>
      <c r="D174" s="5"/>
      <c r="E174" s="5"/>
      <c r="F174" s="5"/>
      <c r="G174" s="5"/>
      <c r="H174" s="2"/>
      <c r="I174" s="2"/>
      <c r="J174" s="2"/>
      <c r="K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5"/>
      <c r="B175" s="2"/>
      <c r="C175" s="10"/>
      <c r="D175" s="5"/>
      <c r="E175" s="5"/>
      <c r="F175" s="5"/>
      <c r="G175" s="5"/>
      <c r="H175" s="2"/>
      <c r="I175" s="2"/>
      <c r="J175" s="2"/>
      <c r="K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5"/>
      <c r="B176" s="2"/>
      <c r="C176" s="10"/>
      <c r="D176" s="5"/>
      <c r="E176" s="5"/>
      <c r="F176" s="5"/>
      <c r="G176" s="5"/>
      <c r="H176" s="2"/>
      <c r="I176" s="2"/>
      <c r="J176" s="2"/>
      <c r="K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5"/>
      <c r="B177" s="2"/>
      <c r="C177" s="10"/>
      <c r="D177" s="5"/>
      <c r="E177" s="5"/>
      <c r="F177" s="5"/>
      <c r="G177" s="5"/>
      <c r="H177" s="2"/>
      <c r="I177" s="2"/>
      <c r="J177" s="2"/>
      <c r="K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5"/>
      <c r="B178" s="2"/>
      <c r="C178" s="10"/>
      <c r="D178" s="5"/>
      <c r="E178" s="5"/>
      <c r="F178" s="5"/>
      <c r="G178" s="5"/>
      <c r="H178" s="2"/>
      <c r="I178" s="2"/>
      <c r="J178" s="2"/>
      <c r="K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5"/>
      <c r="B179" s="2"/>
      <c r="C179" s="10"/>
      <c r="D179" s="5"/>
      <c r="E179" s="5"/>
      <c r="F179" s="5"/>
      <c r="G179" s="5"/>
      <c r="H179" s="2"/>
      <c r="I179" s="2"/>
      <c r="J179" s="2"/>
      <c r="K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5"/>
      <c r="B180" s="2"/>
      <c r="C180" s="10"/>
      <c r="D180" s="5"/>
      <c r="E180" s="5"/>
      <c r="F180" s="5"/>
      <c r="G180" s="5"/>
      <c r="H180" s="2"/>
      <c r="I180" s="2"/>
      <c r="J180" s="2"/>
      <c r="K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5"/>
      <c r="B181" s="2"/>
      <c r="C181" s="10"/>
      <c r="D181" s="5"/>
      <c r="E181" s="5"/>
      <c r="F181" s="5"/>
      <c r="G181" s="5"/>
      <c r="H181" s="2"/>
      <c r="I181" s="2"/>
      <c r="J181" s="2"/>
      <c r="K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5"/>
      <c r="B182" s="2"/>
      <c r="C182" s="10"/>
      <c r="D182" s="5"/>
      <c r="E182" s="5"/>
      <c r="F182" s="5"/>
      <c r="G182" s="5"/>
      <c r="H182" s="2"/>
      <c r="I182" s="2"/>
      <c r="J182" s="2"/>
      <c r="K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5"/>
      <c r="B183" s="2"/>
      <c r="C183" s="10"/>
      <c r="D183" s="5"/>
      <c r="E183" s="5"/>
      <c r="F183" s="5"/>
      <c r="G183" s="5"/>
      <c r="H183" s="2"/>
      <c r="I183" s="2"/>
      <c r="J183" s="2"/>
      <c r="K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5"/>
      <c r="B184" s="2"/>
      <c r="C184" s="10"/>
      <c r="D184" s="5"/>
      <c r="E184" s="5"/>
      <c r="F184" s="5"/>
      <c r="G184" s="5"/>
      <c r="H184" s="2"/>
      <c r="I184" s="2"/>
      <c r="J184" s="2"/>
      <c r="K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5"/>
      <c r="B185" s="2"/>
      <c r="C185" s="10"/>
      <c r="D185" s="5"/>
      <c r="E185" s="5"/>
      <c r="F185" s="5"/>
      <c r="G185" s="5"/>
      <c r="H185" s="2"/>
      <c r="I185" s="2"/>
      <c r="J185" s="2"/>
      <c r="K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5"/>
      <c r="B186" s="2"/>
      <c r="C186" s="10"/>
      <c r="D186" s="5"/>
      <c r="E186" s="5"/>
      <c r="F186" s="5"/>
      <c r="G186" s="5"/>
      <c r="H186" s="2"/>
      <c r="I186" s="2"/>
      <c r="J186" s="2"/>
      <c r="K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5"/>
      <c r="B187" s="2"/>
      <c r="C187" s="10"/>
      <c r="D187" s="5"/>
      <c r="E187" s="5"/>
      <c r="F187" s="5"/>
      <c r="G187" s="5"/>
      <c r="H187" s="2"/>
      <c r="I187" s="2"/>
      <c r="J187" s="2"/>
      <c r="K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5"/>
      <c r="B188" s="2"/>
      <c r="C188" s="10"/>
      <c r="D188" s="5"/>
      <c r="E188" s="5"/>
      <c r="F188" s="5"/>
      <c r="G188" s="5"/>
      <c r="H188" s="2"/>
      <c r="I188" s="2"/>
      <c r="J188" s="2"/>
      <c r="K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5"/>
      <c r="B189" s="2"/>
      <c r="C189" s="10"/>
      <c r="D189" s="5"/>
      <c r="E189" s="5"/>
      <c r="F189" s="5"/>
      <c r="G189" s="5"/>
      <c r="H189" s="2"/>
      <c r="I189" s="2"/>
      <c r="J189" s="2"/>
      <c r="K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5"/>
      <c r="B190" s="2"/>
      <c r="C190" s="10"/>
      <c r="D190" s="5"/>
      <c r="E190" s="5"/>
      <c r="F190" s="5"/>
      <c r="G190" s="5"/>
      <c r="H190" s="2"/>
      <c r="I190" s="2"/>
      <c r="J190" s="2"/>
      <c r="K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5"/>
      <c r="B191" s="2"/>
      <c r="C191" s="10"/>
      <c r="D191" s="5"/>
      <c r="E191" s="5"/>
      <c r="F191" s="5"/>
      <c r="G191" s="5"/>
      <c r="H191" s="2"/>
      <c r="I191" s="2"/>
      <c r="J191" s="2"/>
      <c r="K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5"/>
      <c r="B192" s="2"/>
      <c r="C192" s="10"/>
      <c r="D192" s="5"/>
      <c r="E192" s="5"/>
      <c r="F192" s="5"/>
      <c r="G192" s="5"/>
      <c r="H192" s="2"/>
      <c r="I192" s="2"/>
      <c r="J192" s="2"/>
      <c r="K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5"/>
      <c r="B193" s="2"/>
      <c r="C193" s="10"/>
      <c r="D193" s="5"/>
      <c r="E193" s="5"/>
      <c r="F193" s="5"/>
      <c r="G193" s="5"/>
      <c r="H193" s="2"/>
      <c r="I193" s="2"/>
      <c r="J193" s="2"/>
      <c r="K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5"/>
      <c r="B194" s="2"/>
      <c r="C194" s="10"/>
      <c r="D194" s="5"/>
      <c r="E194" s="5"/>
      <c r="F194" s="5"/>
      <c r="G194" s="5"/>
      <c r="H194" s="2"/>
      <c r="I194" s="2"/>
      <c r="J194" s="2"/>
      <c r="K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5"/>
      <c r="B195" s="2"/>
      <c r="C195" s="10"/>
      <c r="D195" s="5"/>
      <c r="E195" s="5"/>
      <c r="F195" s="5"/>
      <c r="G195" s="5"/>
      <c r="H195" s="2"/>
      <c r="I195" s="2"/>
      <c r="J195" s="2"/>
      <c r="K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5"/>
      <c r="B196" s="2"/>
      <c r="C196" s="10"/>
      <c r="D196" s="5"/>
      <c r="E196" s="5"/>
      <c r="F196" s="5"/>
      <c r="G196" s="5"/>
      <c r="H196" s="2"/>
      <c r="I196" s="2"/>
      <c r="J196" s="2"/>
      <c r="K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5"/>
      <c r="B197" s="2"/>
      <c r="C197" s="10"/>
      <c r="D197" s="5"/>
      <c r="E197" s="5"/>
      <c r="F197" s="5"/>
      <c r="G197" s="5"/>
      <c r="H197" s="2"/>
      <c r="I197" s="2"/>
      <c r="J197" s="2"/>
      <c r="K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5"/>
      <c r="B198" s="2"/>
      <c r="C198" s="10"/>
      <c r="D198" s="5"/>
      <c r="E198" s="5"/>
      <c r="F198" s="5"/>
      <c r="G198" s="5"/>
      <c r="H198" s="2"/>
      <c r="I198" s="2"/>
      <c r="J198" s="2"/>
      <c r="K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5"/>
      <c r="B199" s="2"/>
      <c r="C199" s="10"/>
      <c r="D199" s="5"/>
      <c r="E199" s="5"/>
      <c r="F199" s="5"/>
      <c r="G199" s="5"/>
      <c r="H199" s="2"/>
      <c r="I199" s="2"/>
      <c r="J199" s="2"/>
      <c r="K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5"/>
      <c r="B200" s="2"/>
      <c r="C200" s="10"/>
      <c r="D200" s="5"/>
      <c r="E200" s="5"/>
      <c r="F200" s="5"/>
      <c r="G200" s="5"/>
      <c r="H200" s="2"/>
      <c r="I200" s="2"/>
      <c r="J200" s="2"/>
      <c r="K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5"/>
      <c r="B201" s="2"/>
      <c r="C201" s="10"/>
      <c r="D201" s="5"/>
      <c r="E201" s="5"/>
      <c r="F201" s="5"/>
      <c r="G201" s="5"/>
      <c r="H201" s="2"/>
      <c r="I201" s="2"/>
      <c r="J201" s="2"/>
      <c r="K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5"/>
      <c r="B202" s="2"/>
      <c r="C202" s="10"/>
      <c r="D202" s="5"/>
      <c r="E202" s="5"/>
      <c r="F202" s="5"/>
      <c r="G202" s="5"/>
      <c r="H202" s="2"/>
      <c r="I202" s="2"/>
      <c r="J202" s="2"/>
      <c r="K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5"/>
      <c r="B203" s="2"/>
      <c r="C203" s="10"/>
      <c r="D203" s="5"/>
      <c r="E203" s="5"/>
      <c r="F203" s="5"/>
      <c r="G203" s="5"/>
      <c r="H203" s="2"/>
      <c r="I203" s="2"/>
      <c r="J203" s="2"/>
      <c r="K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5"/>
      <c r="B204" s="2"/>
      <c r="C204" s="10"/>
      <c r="D204" s="5"/>
      <c r="E204" s="5"/>
      <c r="F204" s="5"/>
      <c r="G204" s="5"/>
      <c r="H204" s="2"/>
      <c r="I204" s="2"/>
      <c r="J204" s="2"/>
      <c r="K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5"/>
      <c r="B205" s="2"/>
      <c r="C205" s="10"/>
      <c r="D205" s="5"/>
      <c r="E205" s="5"/>
      <c r="F205" s="5"/>
      <c r="G205" s="5"/>
      <c r="H205" s="2"/>
      <c r="I205" s="2"/>
      <c r="J205" s="2"/>
      <c r="K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5"/>
      <c r="B206" s="2"/>
      <c r="C206" s="10"/>
      <c r="D206" s="5"/>
      <c r="E206" s="5"/>
      <c r="F206" s="5"/>
      <c r="G206" s="5"/>
      <c r="H206" s="2"/>
      <c r="I206" s="2"/>
      <c r="J206" s="2"/>
      <c r="K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5"/>
      <c r="B207" s="2"/>
      <c r="C207" s="10"/>
      <c r="D207" s="5"/>
      <c r="E207" s="5"/>
      <c r="F207" s="5"/>
      <c r="G207" s="5"/>
      <c r="H207" s="2"/>
      <c r="I207" s="2"/>
      <c r="J207" s="2"/>
      <c r="K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5"/>
      <c r="B208" s="2"/>
      <c r="C208" s="10"/>
      <c r="D208" s="5"/>
      <c r="E208" s="5"/>
      <c r="F208" s="5"/>
      <c r="G208" s="5"/>
      <c r="H208" s="2"/>
      <c r="I208" s="2"/>
      <c r="J208" s="2"/>
      <c r="K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5"/>
      <c r="B209" s="2"/>
      <c r="C209" s="10"/>
      <c r="D209" s="5"/>
      <c r="E209" s="5"/>
      <c r="F209" s="5"/>
      <c r="G209" s="5"/>
      <c r="H209" s="2"/>
      <c r="I209" s="2"/>
      <c r="J209" s="2"/>
      <c r="K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5"/>
      <c r="B210" s="2"/>
      <c r="C210" s="10"/>
      <c r="D210" s="5"/>
      <c r="E210" s="5"/>
      <c r="F210" s="5"/>
      <c r="G210" s="5"/>
      <c r="H210" s="2"/>
      <c r="I210" s="2"/>
      <c r="J210" s="2"/>
      <c r="K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5"/>
      <c r="B211" s="2"/>
      <c r="C211" s="10"/>
      <c r="D211" s="5"/>
      <c r="E211" s="5"/>
      <c r="F211" s="5"/>
      <c r="G211" s="5"/>
      <c r="H211" s="2"/>
      <c r="I211" s="2"/>
      <c r="J211" s="2"/>
      <c r="K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5"/>
      <c r="B212" s="2"/>
      <c r="C212" s="10"/>
      <c r="D212" s="5"/>
      <c r="E212" s="5"/>
      <c r="F212" s="5"/>
      <c r="G212" s="5"/>
      <c r="H212" s="2"/>
      <c r="I212" s="2"/>
      <c r="J212" s="2"/>
      <c r="K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5"/>
      <c r="B213" s="2"/>
      <c r="C213" s="10"/>
      <c r="D213" s="5"/>
      <c r="E213" s="5"/>
      <c r="F213" s="5"/>
      <c r="G213" s="5"/>
      <c r="H213" s="2"/>
      <c r="I213" s="2"/>
      <c r="J213" s="2"/>
      <c r="K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5"/>
      <c r="B214" s="2"/>
      <c r="C214" s="10"/>
      <c r="D214" s="5"/>
      <c r="E214" s="5"/>
      <c r="F214" s="5"/>
      <c r="G214" s="5"/>
      <c r="H214" s="2"/>
      <c r="I214" s="2"/>
      <c r="J214" s="2"/>
      <c r="K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5"/>
      <c r="B215" s="2"/>
      <c r="C215" s="10"/>
      <c r="D215" s="5"/>
      <c r="E215" s="5"/>
      <c r="F215" s="5"/>
      <c r="G215" s="5"/>
      <c r="H215" s="2"/>
      <c r="I215" s="2"/>
      <c r="J215" s="2"/>
      <c r="K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5"/>
      <c r="B216" s="2"/>
      <c r="C216" s="10"/>
      <c r="D216" s="5"/>
      <c r="E216" s="5"/>
      <c r="F216" s="5"/>
      <c r="G216" s="5"/>
      <c r="H216" s="2"/>
      <c r="I216" s="2"/>
      <c r="J216" s="2"/>
      <c r="K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5"/>
      <c r="B217" s="2"/>
      <c r="C217" s="10"/>
      <c r="D217" s="5"/>
      <c r="E217" s="5"/>
      <c r="F217" s="5"/>
      <c r="G217" s="5"/>
      <c r="H217" s="2"/>
      <c r="I217" s="2"/>
      <c r="J217" s="2"/>
      <c r="K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5"/>
      <c r="B218" s="2"/>
      <c r="C218" s="10"/>
      <c r="D218" s="5"/>
      <c r="E218" s="5"/>
      <c r="F218" s="5"/>
      <c r="G218" s="5"/>
      <c r="H218" s="2"/>
      <c r="I218" s="2"/>
      <c r="J218" s="2"/>
      <c r="K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5"/>
      <c r="B219" s="2"/>
      <c r="C219" s="10"/>
      <c r="D219" s="5"/>
      <c r="E219" s="5"/>
      <c r="F219" s="5"/>
      <c r="G219" s="5"/>
      <c r="H219" s="2"/>
      <c r="I219" s="2"/>
      <c r="J219" s="2"/>
      <c r="K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5"/>
      <c r="B220" s="2"/>
      <c r="C220" s="10"/>
      <c r="D220" s="5"/>
      <c r="E220" s="5"/>
      <c r="F220" s="5"/>
      <c r="G220" s="5"/>
      <c r="H220" s="2"/>
      <c r="I220" s="2"/>
      <c r="J220" s="2"/>
      <c r="K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5"/>
      <c r="B221" s="2"/>
      <c r="C221" s="10"/>
      <c r="D221" s="5"/>
      <c r="E221" s="5"/>
      <c r="F221" s="5"/>
      <c r="G221" s="5"/>
      <c r="H221" s="2"/>
      <c r="I221" s="2"/>
      <c r="J221" s="2"/>
      <c r="K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5"/>
      <c r="B222" s="2"/>
      <c r="C222" s="10"/>
      <c r="D222" s="5"/>
      <c r="E222" s="5"/>
      <c r="F222" s="5"/>
      <c r="G222" s="5"/>
      <c r="H222" s="2"/>
      <c r="I222" s="2"/>
      <c r="J222" s="2"/>
      <c r="K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5"/>
      <c r="B223" s="2"/>
      <c r="C223" s="10"/>
      <c r="D223" s="5"/>
      <c r="E223" s="5"/>
      <c r="F223" s="5"/>
      <c r="G223" s="5"/>
      <c r="H223" s="2"/>
      <c r="I223" s="2"/>
      <c r="J223" s="2"/>
      <c r="K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5"/>
      <c r="B224" s="2"/>
      <c r="C224" s="10"/>
      <c r="D224" s="5"/>
      <c r="E224" s="5"/>
      <c r="F224" s="5"/>
      <c r="G224" s="5"/>
      <c r="H224" s="2"/>
      <c r="I224" s="2"/>
      <c r="J224" s="2"/>
      <c r="K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5"/>
      <c r="B225" s="2"/>
      <c r="C225" s="10"/>
      <c r="D225" s="5"/>
      <c r="E225" s="5"/>
      <c r="F225" s="5"/>
      <c r="G225" s="5"/>
      <c r="H225" s="2"/>
      <c r="I225" s="2"/>
      <c r="J225" s="2"/>
      <c r="K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5"/>
      <c r="B226" s="2"/>
      <c r="C226" s="10"/>
      <c r="D226" s="5"/>
      <c r="E226" s="5"/>
      <c r="F226" s="5"/>
      <c r="G226" s="5"/>
      <c r="H226" s="2"/>
      <c r="I226" s="2"/>
      <c r="J226" s="2"/>
      <c r="K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5"/>
      <c r="B227" s="2"/>
      <c r="C227" s="10"/>
      <c r="D227" s="5"/>
      <c r="E227" s="5"/>
      <c r="F227" s="5"/>
      <c r="G227" s="5"/>
      <c r="H227" s="2"/>
      <c r="I227" s="2"/>
      <c r="J227" s="2"/>
      <c r="K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5"/>
      <c r="B228" s="2"/>
      <c r="C228" s="10"/>
      <c r="D228" s="5"/>
      <c r="E228" s="5"/>
      <c r="F228" s="5"/>
      <c r="G228" s="5"/>
      <c r="H228" s="2"/>
      <c r="I228" s="2"/>
      <c r="J228" s="2"/>
      <c r="K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5"/>
      <c r="B229" s="2"/>
      <c r="C229" s="10"/>
      <c r="D229" s="5"/>
      <c r="E229" s="5"/>
      <c r="F229" s="5"/>
      <c r="G229" s="5"/>
      <c r="H229" s="2"/>
      <c r="I229" s="2"/>
      <c r="J229" s="2"/>
      <c r="K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5"/>
      <c r="B230" s="2"/>
      <c r="C230" s="10"/>
      <c r="D230" s="5"/>
      <c r="E230" s="5"/>
      <c r="F230" s="5"/>
      <c r="G230" s="5"/>
      <c r="H230" s="2"/>
      <c r="I230" s="2"/>
      <c r="J230" s="2"/>
      <c r="K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5"/>
      <c r="B231" s="2"/>
      <c r="C231" s="10"/>
      <c r="D231" s="5"/>
      <c r="E231" s="5"/>
      <c r="F231" s="5"/>
      <c r="G231" s="5"/>
      <c r="H231" s="2"/>
      <c r="I231" s="2"/>
      <c r="J231" s="2"/>
      <c r="K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5"/>
      <c r="B232" s="2"/>
      <c r="C232" s="10"/>
      <c r="D232" s="5"/>
      <c r="E232" s="5"/>
      <c r="F232" s="5"/>
      <c r="G232" s="5"/>
      <c r="H232" s="2"/>
      <c r="I232" s="2"/>
      <c r="J232" s="2"/>
      <c r="K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5"/>
      <c r="B233" s="2"/>
      <c r="C233" s="10"/>
      <c r="D233" s="5"/>
      <c r="E233" s="5"/>
      <c r="F233" s="5"/>
      <c r="G233" s="5"/>
      <c r="H233" s="2"/>
      <c r="I233" s="2"/>
      <c r="J233" s="2"/>
      <c r="K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5"/>
      <c r="B234" s="2"/>
      <c r="C234" s="10"/>
      <c r="D234" s="5"/>
      <c r="E234" s="5"/>
      <c r="F234" s="5"/>
      <c r="G234" s="5"/>
      <c r="H234" s="2"/>
      <c r="I234" s="2"/>
      <c r="J234" s="2"/>
      <c r="K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5"/>
      <c r="B235" s="2"/>
      <c r="C235" s="10"/>
      <c r="D235" s="5"/>
      <c r="E235" s="5"/>
      <c r="F235" s="5"/>
      <c r="G235" s="5"/>
      <c r="H235" s="2"/>
      <c r="I235" s="2"/>
      <c r="J235" s="2"/>
      <c r="K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5"/>
      <c r="B236" s="2"/>
      <c r="C236" s="10"/>
      <c r="D236" s="5"/>
      <c r="E236" s="5"/>
      <c r="F236" s="5"/>
      <c r="G236" s="5"/>
      <c r="H236" s="2"/>
      <c r="I236" s="2"/>
      <c r="J236" s="2"/>
      <c r="K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5"/>
      <c r="B237" s="2"/>
      <c r="C237" s="10"/>
      <c r="D237" s="5"/>
      <c r="E237" s="5"/>
      <c r="F237" s="5"/>
      <c r="G237" s="5"/>
      <c r="H237" s="2"/>
      <c r="I237" s="2"/>
      <c r="J237" s="2"/>
      <c r="K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5"/>
      <c r="B238" s="2"/>
      <c r="C238" s="10"/>
      <c r="D238" s="5"/>
      <c r="E238" s="5"/>
      <c r="F238" s="5"/>
      <c r="G238" s="5"/>
      <c r="H238" s="2"/>
      <c r="I238" s="2"/>
      <c r="J238" s="2"/>
      <c r="K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5"/>
      <c r="B239" s="2"/>
      <c r="C239" s="10"/>
      <c r="D239" s="5"/>
      <c r="E239" s="5"/>
      <c r="F239" s="5"/>
      <c r="G239" s="5"/>
      <c r="H239" s="2"/>
      <c r="I239" s="2"/>
      <c r="J239" s="2"/>
      <c r="K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5"/>
      <c r="B240" s="2"/>
      <c r="C240" s="10"/>
      <c r="D240" s="5"/>
      <c r="E240" s="5"/>
      <c r="F240" s="5"/>
      <c r="G240" s="5"/>
      <c r="H240" s="2"/>
      <c r="I240" s="2"/>
      <c r="J240" s="2"/>
      <c r="K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5"/>
      <c r="B241" s="2"/>
      <c r="C241" s="10"/>
      <c r="D241" s="5"/>
      <c r="E241" s="5"/>
      <c r="F241" s="5"/>
      <c r="G241" s="5"/>
      <c r="H241" s="2"/>
      <c r="I241" s="2"/>
      <c r="J241" s="2"/>
      <c r="K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5"/>
      <c r="B242" s="2"/>
      <c r="C242" s="10"/>
      <c r="D242" s="5"/>
      <c r="E242" s="5"/>
      <c r="F242" s="5"/>
      <c r="G242" s="5"/>
      <c r="H242" s="2"/>
      <c r="I242" s="2"/>
      <c r="J242" s="2"/>
      <c r="K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5"/>
      <c r="B243" s="2"/>
      <c r="C243" s="10"/>
      <c r="D243" s="5"/>
      <c r="E243" s="5"/>
      <c r="F243" s="5"/>
      <c r="G243" s="5"/>
      <c r="H243" s="2"/>
      <c r="I243" s="2"/>
      <c r="J243" s="2"/>
      <c r="K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5"/>
      <c r="B244" s="2"/>
      <c r="C244" s="10"/>
      <c r="D244" s="5"/>
      <c r="E244" s="5"/>
      <c r="F244" s="5"/>
      <c r="G244" s="5"/>
      <c r="H244" s="2"/>
      <c r="I244" s="2"/>
      <c r="J244" s="2"/>
      <c r="K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5"/>
      <c r="B245" s="2"/>
      <c r="C245" s="10"/>
      <c r="D245" s="5"/>
      <c r="E245" s="5"/>
      <c r="F245" s="5"/>
      <c r="G245" s="5"/>
      <c r="H245" s="2"/>
      <c r="I245" s="2"/>
      <c r="J245" s="2"/>
      <c r="K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5"/>
      <c r="B246" s="2"/>
      <c r="C246" s="10"/>
      <c r="D246" s="5"/>
      <c r="E246" s="5"/>
      <c r="F246" s="5"/>
      <c r="G246" s="5"/>
      <c r="H246" s="2"/>
      <c r="I246" s="2"/>
      <c r="J246" s="2"/>
      <c r="K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5"/>
      <c r="B247" s="2"/>
      <c r="C247" s="10"/>
      <c r="D247" s="5"/>
      <c r="E247" s="5"/>
      <c r="F247" s="5"/>
      <c r="G247" s="5"/>
      <c r="H247" s="2"/>
      <c r="I247" s="2"/>
      <c r="J247" s="2"/>
      <c r="K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5"/>
      <c r="B248" s="2"/>
      <c r="C248" s="10"/>
      <c r="D248" s="5"/>
      <c r="E248" s="5"/>
      <c r="F248" s="5"/>
      <c r="G248" s="5"/>
      <c r="H248" s="2"/>
      <c r="I248" s="2"/>
      <c r="J248" s="2"/>
      <c r="K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5"/>
      <c r="B249" s="2"/>
      <c r="C249" s="10"/>
      <c r="D249" s="5"/>
      <c r="E249" s="5"/>
      <c r="F249" s="5"/>
      <c r="G249" s="5"/>
      <c r="H249" s="2"/>
      <c r="I249" s="2"/>
      <c r="J249" s="2"/>
      <c r="K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5"/>
      <c r="B250" s="2"/>
      <c r="C250" s="10"/>
      <c r="D250" s="5"/>
      <c r="E250" s="5"/>
      <c r="F250" s="5"/>
      <c r="G250" s="5"/>
      <c r="H250" s="2"/>
      <c r="I250" s="2"/>
      <c r="J250" s="2"/>
      <c r="K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5"/>
      <c r="B251" s="2"/>
      <c r="C251" s="10"/>
      <c r="D251" s="5"/>
      <c r="E251" s="5"/>
      <c r="F251" s="5"/>
      <c r="G251" s="5"/>
      <c r="H251" s="2"/>
      <c r="I251" s="2"/>
      <c r="J251" s="2"/>
      <c r="K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5"/>
      <c r="B252" s="2"/>
      <c r="C252" s="10"/>
      <c r="D252" s="5"/>
      <c r="E252" s="5"/>
      <c r="F252" s="5"/>
      <c r="G252" s="5"/>
      <c r="H252" s="2"/>
      <c r="I252" s="2"/>
      <c r="J252" s="2"/>
      <c r="K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5"/>
      <c r="B253" s="2"/>
      <c r="C253" s="10"/>
      <c r="D253" s="5"/>
      <c r="E253" s="5"/>
      <c r="F253" s="5"/>
      <c r="G253" s="5"/>
      <c r="H253" s="2"/>
      <c r="I253" s="2"/>
      <c r="J253" s="2"/>
      <c r="K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5"/>
      <c r="B254" s="2"/>
      <c r="C254" s="10"/>
      <c r="D254" s="5"/>
      <c r="E254" s="5"/>
      <c r="F254" s="5"/>
      <c r="G254" s="5"/>
      <c r="H254" s="2"/>
      <c r="I254" s="2"/>
      <c r="J254" s="2"/>
      <c r="K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5"/>
      <c r="B255" s="2"/>
      <c r="C255" s="10"/>
      <c r="D255" s="5"/>
      <c r="E255" s="5"/>
      <c r="F255" s="5"/>
      <c r="G255" s="5"/>
      <c r="H255" s="2"/>
      <c r="I255" s="2"/>
      <c r="J255" s="2"/>
      <c r="K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5"/>
      <c r="B256" s="2"/>
      <c r="C256" s="10"/>
      <c r="D256" s="5"/>
      <c r="E256" s="5"/>
      <c r="F256" s="5"/>
      <c r="G256" s="5"/>
      <c r="H256" s="2"/>
      <c r="I256" s="2"/>
      <c r="J256" s="2"/>
      <c r="K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5"/>
      <c r="B257" s="2"/>
      <c r="C257" s="10"/>
      <c r="D257" s="5"/>
      <c r="E257" s="5"/>
      <c r="F257" s="5"/>
      <c r="G257" s="5"/>
      <c r="H257" s="2"/>
      <c r="I257" s="2"/>
      <c r="J257" s="2"/>
      <c r="K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5"/>
      <c r="B258" s="2"/>
      <c r="C258" s="10"/>
      <c r="D258" s="5"/>
      <c r="E258" s="5"/>
      <c r="F258" s="5"/>
      <c r="G258" s="5"/>
      <c r="H258" s="2"/>
      <c r="I258" s="2"/>
      <c r="J258" s="2"/>
      <c r="K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5"/>
      <c r="B259" s="2"/>
      <c r="C259" s="10"/>
      <c r="D259" s="5"/>
      <c r="E259" s="5"/>
      <c r="F259" s="5"/>
      <c r="G259" s="5"/>
      <c r="H259" s="2"/>
      <c r="I259" s="2"/>
      <c r="J259" s="2"/>
      <c r="K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5"/>
      <c r="B260" s="2"/>
      <c r="C260" s="10"/>
      <c r="D260" s="5"/>
      <c r="E260" s="5"/>
      <c r="F260" s="5"/>
      <c r="G260" s="5"/>
      <c r="H260" s="2"/>
      <c r="I260" s="2"/>
      <c r="J260" s="2"/>
      <c r="K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5"/>
      <c r="B261" s="5"/>
      <c r="C261" s="10"/>
      <c r="D261" s="5"/>
      <c r="E261" s="5"/>
      <c r="F261" s="5"/>
      <c r="G261" s="5"/>
      <c r="H261" s="2"/>
      <c r="I261" s="2"/>
      <c r="J261" s="2"/>
      <c r="K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5"/>
      <c r="B262" s="5"/>
      <c r="C262" s="10"/>
      <c r="D262" s="5"/>
      <c r="E262" s="5"/>
      <c r="F262" s="5"/>
      <c r="G262" s="5"/>
      <c r="H262" s="2"/>
      <c r="I262" s="2"/>
      <c r="J262" s="2"/>
      <c r="K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5"/>
      <c r="B263" s="5"/>
      <c r="C263" s="10"/>
      <c r="D263" s="5"/>
      <c r="E263" s="5"/>
      <c r="F263" s="5"/>
      <c r="G263" s="5"/>
      <c r="H263" s="2"/>
      <c r="I263" s="2"/>
      <c r="J263" s="2"/>
      <c r="K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5"/>
      <c r="B264" s="5"/>
      <c r="C264" s="10"/>
      <c r="D264" s="5"/>
      <c r="E264" s="5"/>
      <c r="F264" s="5"/>
      <c r="G264" s="5"/>
      <c r="H264" s="2"/>
      <c r="I264" s="2"/>
      <c r="J264" s="2"/>
      <c r="K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5"/>
      <c r="B265" s="5"/>
      <c r="C265" s="10"/>
      <c r="D265" s="5"/>
      <c r="E265" s="5"/>
      <c r="F265" s="5"/>
      <c r="G265" s="5"/>
      <c r="H265" s="2"/>
      <c r="I265" s="2"/>
      <c r="J265" s="2"/>
      <c r="K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5"/>
      <c r="B266" s="5"/>
      <c r="C266" s="10"/>
      <c r="D266" s="5"/>
      <c r="E266" s="5"/>
      <c r="F266" s="5"/>
      <c r="G266" s="5"/>
      <c r="H266" s="2"/>
      <c r="I266" s="2"/>
      <c r="J266" s="2"/>
      <c r="K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5"/>
      <c r="B267" s="5"/>
      <c r="C267" s="10"/>
      <c r="D267" s="5"/>
      <c r="E267" s="5"/>
      <c r="F267" s="5"/>
      <c r="G267" s="5"/>
      <c r="H267" s="2"/>
      <c r="I267" s="2"/>
      <c r="J267" s="2"/>
      <c r="K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5"/>
      <c r="B268" s="5"/>
      <c r="C268" s="10"/>
      <c r="D268" s="5"/>
      <c r="E268" s="5"/>
      <c r="F268" s="5"/>
      <c r="G268" s="5"/>
      <c r="H268" s="2"/>
      <c r="I268" s="2"/>
      <c r="J268" s="2"/>
      <c r="K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5"/>
      <c r="B269" s="5"/>
      <c r="C269" s="10"/>
      <c r="D269" s="5"/>
      <c r="E269" s="5"/>
      <c r="F269" s="5"/>
      <c r="G269" s="5"/>
      <c r="H269" s="2"/>
      <c r="I269" s="2"/>
      <c r="J269" s="2"/>
      <c r="K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5"/>
      <c r="B270" s="5"/>
      <c r="C270" s="10"/>
      <c r="D270" s="5"/>
      <c r="E270" s="5"/>
      <c r="F270" s="5"/>
      <c r="G270" s="5"/>
      <c r="H270" s="2"/>
      <c r="I270" s="2"/>
      <c r="J270" s="2"/>
      <c r="K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5"/>
      <c r="B271" s="5"/>
      <c r="C271" s="10"/>
      <c r="D271" s="5"/>
      <c r="E271" s="5"/>
      <c r="F271" s="5"/>
      <c r="G271" s="5"/>
      <c r="H271" s="2"/>
      <c r="I271" s="2"/>
      <c r="J271" s="2"/>
      <c r="K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5"/>
      <c r="B272" s="5"/>
      <c r="C272" s="10"/>
      <c r="D272" s="5"/>
      <c r="E272" s="5"/>
      <c r="F272" s="5"/>
      <c r="G272" s="5"/>
      <c r="H272" s="2"/>
      <c r="I272" s="2"/>
      <c r="J272" s="2"/>
      <c r="K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5"/>
      <c r="B273" s="5"/>
      <c r="C273" s="10"/>
      <c r="D273" s="5"/>
      <c r="E273" s="5"/>
      <c r="F273" s="5"/>
      <c r="G273" s="5"/>
      <c r="H273" s="2"/>
      <c r="I273" s="2"/>
      <c r="J273" s="2"/>
      <c r="K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5"/>
      <c r="B274" s="5"/>
      <c r="C274" s="10"/>
      <c r="D274" s="5"/>
      <c r="E274" s="5"/>
      <c r="F274" s="5"/>
      <c r="G274" s="5"/>
      <c r="H274" s="2"/>
      <c r="I274" s="2"/>
      <c r="J274" s="2"/>
      <c r="K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5"/>
      <c r="B275" s="5"/>
      <c r="C275" s="10"/>
      <c r="D275" s="5"/>
      <c r="E275" s="5"/>
      <c r="F275" s="5"/>
      <c r="G275" s="5"/>
      <c r="H275" s="2"/>
      <c r="I275" s="2"/>
      <c r="J275" s="2"/>
      <c r="K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5"/>
      <c r="B276" s="5"/>
      <c r="C276" s="10"/>
      <c r="D276" s="5"/>
      <c r="E276" s="5"/>
      <c r="F276" s="5"/>
      <c r="G276" s="5"/>
      <c r="H276" s="2"/>
      <c r="I276" s="2"/>
      <c r="J276" s="2"/>
      <c r="K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5"/>
      <c r="B277" s="5"/>
      <c r="C277" s="10"/>
      <c r="D277" s="5"/>
      <c r="E277" s="5"/>
      <c r="F277" s="5"/>
      <c r="G277" s="5"/>
      <c r="H277" s="2"/>
      <c r="I277" s="2"/>
      <c r="J277" s="2"/>
      <c r="K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5"/>
      <c r="B278" s="5"/>
      <c r="C278" s="10"/>
      <c r="D278" s="5"/>
      <c r="E278" s="5"/>
      <c r="F278" s="5"/>
      <c r="G278" s="5"/>
      <c r="H278" s="2"/>
      <c r="I278" s="2"/>
      <c r="J278" s="2"/>
      <c r="K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5"/>
      <c r="B279" s="5"/>
      <c r="C279" s="10"/>
      <c r="D279" s="5"/>
      <c r="E279" s="5"/>
      <c r="F279" s="5"/>
      <c r="G279" s="5"/>
      <c r="H279" s="2"/>
      <c r="I279" s="2"/>
      <c r="J279" s="2"/>
      <c r="K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5"/>
      <c r="B280" s="5"/>
      <c r="C280" s="10"/>
      <c r="D280" s="5"/>
      <c r="E280" s="5"/>
      <c r="F280" s="5"/>
      <c r="G280" s="5"/>
      <c r="H280" s="2"/>
      <c r="I280" s="2"/>
      <c r="J280" s="2"/>
      <c r="K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5"/>
      <c r="B281" s="5"/>
      <c r="C281" s="10"/>
      <c r="D281" s="5"/>
      <c r="E281" s="5"/>
      <c r="F281" s="5"/>
      <c r="G281" s="5"/>
      <c r="H281" s="2"/>
      <c r="I281" s="2"/>
      <c r="J281" s="2"/>
      <c r="K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5"/>
      <c r="B282" s="5"/>
      <c r="C282" s="10"/>
      <c r="D282" s="5"/>
      <c r="E282" s="5"/>
      <c r="F282" s="5"/>
      <c r="G282" s="5"/>
      <c r="H282" s="2"/>
      <c r="I282" s="2"/>
      <c r="J282" s="2"/>
      <c r="K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5"/>
      <c r="B283" s="5"/>
      <c r="C283" s="10"/>
      <c r="D283" s="5"/>
      <c r="E283" s="5"/>
      <c r="F283" s="5"/>
      <c r="G283" s="5"/>
      <c r="H283" s="2"/>
      <c r="I283" s="2"/>
      <c r="J283" s="2"/>
      <c r="K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5"/>
      <c r="B284" s="5"/>
      <c r="C284" s="10"/>
      <c r="D284" s="5"/>
      <c r="E284" s="5"/>
      <c r="F284" s="5"/>
      <c r="G284" s="5"/>
      <c r="H284" s="2"/>
      <c r="I284" s="2"/>
      <c r="J284" s="2"/>
      <c r="K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5"/>
      <c r="B285" s="5"/>
      <c r="C285" s="10"/>
      <c r="D285" s="5"/>
      <c r="E285" s="5"/>
      <c r="F285" s="5"/>
      <c r="G285" s="5"/>
      <c r="H285" s="2"/>
      <c r="I285" s="2"/>
      <c r="J285" s="2"/>
      <c r="K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5"/>
      <c r="B286" s="5"/>
      <c r="C286" s="10"/>
      <c r="D286" s="5"/>
      <c r="E286" s="5"/>
      <c r="F286" s="5"/>
      <c r="G286" s="5"/>
      <c r="H286" s="2"/>
      <c r="I286" s="2"/>
      <c r="J286" s="2"/>
      <c r="K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5"/>
      <c r="B287" s="5"/>
      <c r="C287" s="10"/>
      <c r="D287" s="5"/>
      <c r="E287" s="5"/>
      <c r="F287" s="5"/>
      <c r="G287" s="5"/>
      <c r="H287" s="2"/>
      <c r="I287" s="2"/>
      <c r="J287" s="2"/>
      <c r="K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5"/>
      <c r="B288" s="5"/>
      <c r="C288" s="10"/>
      <c r="D288" s="5"/>
      <c r="E288" s="5"/>
      <c r="F288" s="5"/>
      <c r="G288" s="5"/>
      <c r="H288" s="2"/>
      <c r="I288" s="2"/>
      <c r="J288" s="2"/>
      <c r="K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5"/>
      <c r="B289" s="5"/>
      <c r="C289" s="10"/>
      <c r="D289" s="5"/>
      <c r="E289" s="5"/>
      <c r="F289" s="5"/>
      <c r="G289" s="5"/>
      <c r="H289" s="2"/>
      <c r="I289" s="2"/>
      <c r="J289" s="2"/>
      <c r="K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5"/>
      <c r="B290" s="5"/>
      <c r="C290" s="10"/>
      <c r="D290" s="5"/>
      <c r="E290" s="5"/>
      <c r="F290" s="5"/>
      <c r="G290" s="5"/>
      <c r="H290" s="2"/>
      <c r="I290" s="2"/>
      <c r="J290" s="2"/>
      <c r="K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5"/>
      <c r="B291" s="5"/>
      <c r="C291" s="10"/>
      <c r="D291" s="5"/>
      <c r="E291" s="5"/>
      <c r="F291" s="5"/>
      <c r="G291" s="5"/>
      <c r="H291" s="2"/>
      <c r="I291" s="2"/>
      <c r="J291" s="2"/>
      <c r="K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5"/>
      <c r="B292" s="5"/>
      <c r="C292" s="10"/>
      <c r="D292" s="5"/>
      <c r="E292" s="5"/>
      <c r="F292" s="5"/>
      <c r="G292" s="5"/>
      <c r="H292" s="2"/>
      <c r="I292" s="2"/>
      <c r="J292" s="2"/>
      <c r="K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5"/>
      <c r="B293" s="5"/>
      <c r="C293" s="10"/>
      <c r="D293" s="5"/>
      <c r="E293" s="5"/>
      <c r="F293" s="5"/>
      <c r="G293" s="5"/>
      <c r="H293" s="2"/>
      <c r="I293" s="2"/>
      <c r="J293" s="2"/>
      <c r="K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5"/>
      <c r="B294" s="5"/>
      <c r="C294" s="10"/>
      <c r="D294" s="5"/>
      <c r="E294" s="5"/>
      <c r="F294" s="5"/>
      <c r="G294" s="5"/>
      <c r="H294" s="2"/>
      <c r="I294" s="2"/>
      <c r="J294" s="2"/>
      <c r="K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5"/>
      <c r="B295" s="5"/>
      <c r="C295" s="10"/>
      <c r="D295" s="5"/>
      <c r="E295" s="5"/>
      <c r="F295" s="5"/>
      <c r="G295" s="5"/>
      <c r="H295" s="2"/>
      <c r="I295" s="2"/>
      <c r="J295" s="2"/>
      <c r="K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5"/>
      <c r="B296" s="5"/>
      <c r="C296" s="10"/>
      <c r="D296" s="5"/>
      <c r="E296" s="5"/>
      <c r="F296" s="5"/>
      <c r="G296" s="5"/>
      <c r="H296" s="2"/>
      <c r="I296" s="2"/>
      <c r="J296" s="2"/>
      <c r="K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5"/>
      <c r="B297" s="5"/>
      <c r="C297" s="10"/>
      <c r="D297" s="5"/>
      <c r="E297" s="5"/>
      <c r="F297" s="5"/>
      <c r="G297" s="5"/>
      <c r="H297" s="2"/>
      <c r="I297" s="2"/>
      <c r="J297" s="2"/>
      <c r="K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5"/>
      <c r="B298" s="5"/>
      <c r="C298" s="10"/>
      <c r="D298" s="5"/>
      <c r="E298" s="5"/>
      <c r="F298" s="5"/>
      <c r="G298" s="5"/>
      <c r="H298" s="2"/>
      <c r="I298" s="2"/>
      <c r="J298" s="2"/>
      <c r="K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5"/>
      <c r="B299" s="5"/>
      <c r="C299" s="10"/>
      <c r="D299" s="5"/>
      <c r="E299" s="5"/>
      <c r="F299" s="5"/>
      <c r="G299" s="5"/>
      <c r="H299" s="2"/>
      <c r="I299" s="2"/>
      <c r="J299" s="2"/>
      <c r="K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5"/>
      <c r="B300" s="5"/>
      <c r="C300" s="10"/>
      <c r="D300" s="5"/>
      <c r="E300" s="5"/>
      <c r="F300" s="5"/>
      <c r="G300" s="5"/>
      <c r="H300" s="2"/>
      <c r="I300" s="2"/>
      <c r="J300" s="2"/>
      <c r="K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5"/>
      <c r="B301" s="5"/>
      <c r="C301" s="10"/>
      <c r="D301" s="5"/>
      <c r="E301" s="5"/>
      <c r="F301" s="5"/>
      <c r="G301" s="5"/>
      <c r="H301" s="2"/>
      <c r="I301" s="2"/>
      <c r="J301" s="2"/>
      <c r="K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5"/>
      <c r="B302" s="5"/>
      <c r="C302" s="5"/>
      <c r="D302" s="5"/>
      <c r="E302" s="5"/>
      <c r="F302" s="5"/>
      <c r="G302" s="5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5"/>
      <c r="B303" s="5"/>
      <c r="C303" s="5"/>
      <c r="D303" s="5"/>
      <c r="E303" s="5"/>
      <c r="F303" s="5"/>
      <c r="G303" s="5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5"/>
      <c r="B304" s="5"/>
      <c r="C304" s="5"/>
      <c r="D304" s="5"/>
      <c r="E304" s="5"/>
      <c r="F304" s="5"/>
      <c r="G304" s="5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5"/>
      <c r="B305" s="5"/>
      <c r="C305" s="5"/>
      <c r="D305" s="5"/>
      <c r="E305" s="5"/>
      <c r="F305" s="5"/>
      <c r="G305" s="5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5"/>
      <c r="B306" s="5"/>
      <c r="C306" s="5"/>
      <c r="D306" s="5"/>
      <c r="E306" s="5"/>
      <c r="F306" s="5"/>
      <c r="G306" s="5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5"/>
      <c r="B307" s="5"/>
      <c r="C307" s="5"/>
      <c r="D307" s="5"/>
      <c r="E307" s="5"/>
      <c r="F307" s="5"/>
      <c r="G307" s="5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5"/>
      <c r="B308" s="5"/>
      <c r="C308" s="5"/>
      <c r="D308" s="5"/>
      <c r="E308" s="5"/>
      <c r="F308" s="5"/>
      <c r="G308" s="5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5"/>
      <c r="B309" s="5"/>
      <c r="C309" s="5"/>
      <c r="D309" s="5"/>
      <c r="E309" s="5"/>
      <c r="F309" s="5"/>
      <c r="G309" s="5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5"/>
      <c r="B310" s="5"/>
      <c r="C310" s="5"/>
      <c r="D310" s="5"/>
      <c r="E310" s="5"/>
      <c r="F310" s="5"/>
      <c r="G310" s="5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5"/>
      <c r="B311" s="5"/>
      <c r="C311" s="5"/>
      <c r="D311" s="5"/>
      <c r="E311" s="5"/>
      <c r="F311" s="5"/>
      <c r="G311" s="5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5"/>
      <c r="B312" s="5"/>
      <c r="C312" s="5"/>
      <c r="D312" s="5"/>
      <c r="E312" s="5"/>
      <c r="F312" s="5"/>
      <c r="G312" s="5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5"/>
      <c r="B313" s="5"/>
      <c r="C313" s="5"/>
      <c r="D313" s="5"/>
      <c r="E313" s="5"/>
      <c r="F313" s="5"/>
      <c r="G313" s="5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5"/>
      <c r="B314" s="5"/>
      <c r="C314" s="5"/>
      <c r="D314" s="5"/>
      <c r="E314" s="5"/>
      <c r="F314" s="5"/>
      <c r="G314" s="5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5"/>
      <c r="B315" s="5"/>
      <c r="C315" s="5"/>
      <c r="D315" s="5"/>
      <c r="E315" s="5"/>
      <c r="F315" s="5"/>
      <c r="G315" s="5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5"/>
      <c r="B316" s="5"/>
      <c r="C316" s="5"/>
      <c r="D316" s="5"/>
      <c r="E316" s="5"/>
      <c r="F316" s="5"/>
      <c r="G316" s="5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5"/>
      <c r="B317" s="5"/>
      <c r="C317" s="5"/>
      <c r="D317" s="5"/>
      <c r="E317" s="5"/>
      <c r="F317" s="5"/>
      <c r="G317" s="5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5"/>
      <c r="B318" s="5"/>
      <c r="C318" s="5"/>
      <c r="D318" s="5"/>
      <c r="E318" s="5"/>
      <c r="F318" s="5"/>
      <c r="G318" s="5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5"/>
      <c r="B319" s="5"/>
      <c r="C319" s="5"/>
      <c r="D319" s="5"/>
      <c r="E319" s="5"/>
      <c r="F319" s="5"/>
      <c r="G319" s="5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5"/>
      <c r="B320" s="5"/>
      <c r="C320" s="5"/>
      <c r="D320" s="5"/>
      <c r="E320" s="5"/>
      <c r="F320" s="5"/>
      <c r="G320" s="5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5"/>
      <c r="B321" s="5"/>
      <c r="C321" s="5"/>
      <c r="D321" s="5"/>
      <c r="E321" s="5"/>
      <c r="F321" s="5"/>
      <c r="G321" s="5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5"/>
      <c r="B322" s="5"/>
      <c r="C322" s="5"/>
      <c r="D322" s="5"/>
      <c r="E322" s="5"/>
      <c r="F322" s="5"/>
      <c r="G322" s="5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5"/>
      <c r="B323" s="5"/>
      <c r="C323" s="5"/>
      <c r="D323" s="5"/>
      <c r="E323" s="5"/>
      <c r="F323" s="5"/>
      <c r="G323" s="5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5"/>
      <c r="B324" s="5"/>
      <c r="C324" s="5"/>
      <c r="D324" s="5"/>
      <c r="E324" s="5"/>
      <c r="F324" s="5"/>
      <c r="G324" s="5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5"/>
      <c r="B325" s="5"/>
      <c r="C325" s="5"/>
      <c r="D325" s="5"/>
      <c r="E325" s="5"/>
      <c r="F325" s="5"/>
      <c r="G325" s="5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5"/>
      <c r="B326" s="5"/>
      <c r="C326" s="5"/>
      <c r="D326" s="5"/>
      <c r="E326" s="5"/>
      <c r="F326" s="5"/>
      <c r="G326" s="5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5"/>
      <c r="B327" s="5"/>
      <c r="C327" s="5"/>
      <c r="D327" s="5"/>
      <c r="E327" s="5"/>
      <c r="F327" s="5"/>
      <c r="G327" s="5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5"/>
      <c r="B328" s="5"/>
      <c r="C328" s="5"/>
      <c r="D328" s="5"/>
      <c r="E328" s="5"/>
      <c r="F328" s="5"/>
      <c r="G328" s="5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5"/>
      <c r="B329" s="5"/>
      <c r="C329" s="5"/>
      <c r="D329" s="5"/>
      <c r="E329" s="5"/>
      <c r="F329" s="5"/>
      <c r="G329" s="5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5"/>
      <c r="B330" s="5"/>
      <c r="C330" s="5"/>
      <c r="D330" s="5"/>
      <c r="E330" s="5"/>
      <c r="F330" s="5"/>
      <c r="G330" s="5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5"/>
      <c r="B331" s="5"/>
      <c r="C331" s="5"/>
      <c r="D331" s="5"/>
      <c r="E331" s="5"/>
      <c r="F331" s="5"/>
      <c r="G331" s="5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5"/>
      <c r="B332" s="5"/>
      <c r="C332" s="5"/>
      <c r="D332" s="5"/>
      <c r="E332" s="5"/>
      <c r="F332" s="5"/>
      <c r="G332" s="5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5"/>
      <c r="B333" s="5"/>
      <c r="C333" s="5"/>
      <c r="D333" s="5"/>
      <c r="E333" s="5"/>
      <c r="F333" s="5"/>
      <c r="G333" s="5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5"/>
      <c r="B334" s="5"/>
      <c r="C334" s="5"/>
      <c r="D334" s="5"/>
      <c r="E334" s="5"/>
      <c r="F334" s="5"/>
      <c r="G334" s="5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5"/>
      <c r="B335" s="5"/>
      <c r="C335" s="5"/>
      <c r="D335" s="5"/>
      <c r="E335" s="5"/>
      <c r="F335" s="5"/>
      <c r="G335" s="5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5"/>
      <c r="B336" s="5"/>
      <c r="C336" s="5"/>
      <c r="D336" s="5"/>
      <c r="E336" s="5"/>
      <c r="F336" s="5"/>
      <c r="G336" s="5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5"/>
      <c r="B337" s="5"/>
      <c r="C337" s="5"/>
      <c r="D337" s="5"/>
      <c r="E337" s="5"/>
      <c r="F337" s="5"/>
      <c r="G337" s="5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5"/>
      <c r="B338" s="5"/>
      <c r="C338" s="5"/>
      <c r="D338" s="5"/>
      <c r="E338" s="5"/>
      <c r="F338" s="5"/>
      <c r="G338" s="5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5"/>
      <c r="B339" s="5"/>
      <c r="C339" s="5"/>
      <c r="D339" s="5"/>
      <c r="E339" s="5"/>
      <c r="F339" s="5"/>
      <c r="G339" s="5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5"/>
      <c r="B340" s="5"/>
      <c r="C340" s="5"/>
      <c r="D340" s="5"/>
      <c r="E340" s="5"/>
      <c r="F340" s="5"/>
      <c r="G340" s="5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5"/>
      <c r="B341" s="5"/>
      <c r="C341" s="5"/>
      <c r="D341" s="5"/>
      <c r="E341" s="5"/>
      <c r="F341" s="5"/>
      <c r="G341" s="5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5"/>
      <c r="B342" s="5"/>
      <c r="C342" s="5"/>
      <c r="D342" s="5"/>
      <c r="E342" s="5"/>
      <c r="F342" s="5"/>
      <c r="G342" s="5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5"/>
      <c r="B343" s="5"/>
      <c r="C343" s="5"/>
      <c r="D343" s="5"/>
      <c r="E343" s="5"/>
      <c r="F343" s="5"/>
      <c r="G343" s="5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5"/>
      <c r="B344" s="5"/>
      <c r="C344" s="5"/>
      <c r="D344" s="5"/>
      <c r="E344" s="5"/>
      <c r="F344" s="5"/>
      <c r="G344" s="5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5"/>
      <c r="B345" s="5"/>
      <c r="C345" s="5"/>
      <c r="D345" s="5"/>
      <c r="E345" s="5"/>
      <c r="F345" s="5"/>
      <c r="G345" s="5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5"/>
      <c r="B346" s="5"/>
      <c r="C346" s="5"/>
      <c r="D346" s="5"/>
      <c r="E346" s="5"/>
      <c r="F346" s="5"/>
      <c r="G346" s="5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5"/>
      <c r="B347" s="5"/>
      <c r="C347" s="5"/>
      <c r="D347" s="5"/>
      <c r="E347" s="5"/>
      <c r="F347" s="5"/>
      <c r="G347" s="5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5"/>
      <c r="B348" s="5"/>
      <c r="C348" s="5"/>
      <c r="D348" s="5"/>
      <c r="E348" s="5"/>
      <c r="F348" s="5"/>
      <c r="G348" s="5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5"/>
      <c r="B349" s="5"/>
      <c r="C349" s="5"/>
      <c r="D349" s="5"/>
      <c r="E349" s="5"/>
      <c r="F349" s="5"/>
      <c r="G349" s="5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5"/>
      <c r="B350" s="5"/>
      <c r="C350" s="5"/>
      <c r="D350" s="5"/>
      <c r="E350" s="5"/>
      <c r="F350" s="5"/>
      <c r="G350" s="5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5"/>
      <c r="B351" s="5"/>
      <c r="C351" s="5"/>
      <c r="D351" s="5"/>
      <c r="E351" s="5"/>
      <c r="F351" s="5"/>
      <c r="G351" s="5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5"/>
      <c r="B352" s="5"/>
      <c r="C352" s="5"/>
      <c r="D352" s="5"/>
      <c r="E352" s="5"/>
      <c r="F352" s="5"/>
      <c r="G352" s="5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5"/>
      <c r="B353" s="5"/>
      <c r="C353" s="5"/>
      <c r="D353" s="5"/>
      <c r="E353" s="5"/>
      <c r="F353" s="5"/>
      <c r="G353" s="5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5"/>
      <c r="B354" s="5"/>
      <c r="C354" s="5"/>
      <c r="D354" s="5"/>
      <c r="E354" s="5"/>
      <c r="F354" s="5"/>
      <c r="G354" s="5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5"/>
      <c r="B355" s="5"/>
      <c r="C355" s="5"/>
      <c r="D355" s="5"/>
      <c r="E355" s="5"/>
      <c r="F355" s="5"/>
      <c r="G355" s="5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5"/>
      <c r="B356" s="5"/>
      <c r="C356" s="5"/>
      <c r="D356" s="5"/>
      <c r="E356" s="5"/>
      <c r="F356" s="5"/>
      <c r="G356" s="5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5"/>
      <c r="B357" s="5"/>
      <c r="C357" s="5"/>
      <c r="D357" s="5"/>
      <c r="E357" s="5"/>
      <c r="F357" s="5"/>
      <c r="G357" s="5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5"/>
      <c r="B358" s="5"/>
      <c r="C358" s="5"/>
      <c r="D358" s="5"/>
      <c r="E358" s="5"/>
      <c r="F358" s="5"/>
      <c r="G358" s="5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5"/>
      <c r="B359" s="5"/>
      <c r="C359" s="5"/>
      <c r="D359" s="5"/>
      <c r="E359" s="5"/>
      <c r="F359" s="5"/>
      <c r="G359" s="5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5"/>
      <c r="B360" s="5"/>
      <c r="C360" s="5"/>
      <c r="D360" s="5"/>
      <c r="E360" s="5"/>
      <c r="F360" s="5"/>
      <c r="G360" s="5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5"/>
      <c r="B361" s="5"/>
      <c r="C361" s="5"/>
      <c r="D361" s="5"/>
      <c r="E361" s="5"/>
      <c r="F361" s="5"/>
      <c r="G361" s="5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5"/>
      <c r="B362" s="5"/>
      <c r="C362" s="5"/>
      <c r="D362" s="5"/>
      <c r="E362" s="5"/>
      <c r="F362" s="5"/>
      <c r="G362" s="5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5"/>
      <c r="B363" s="5"/>
      <c r="C363" s="5"/>
      <c r="D363" s="5"/>
      <c r="E363" s="5"/>
      <c r="F363" s="5"/>
      <c r="G363" s="5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5"/>
      <c r="B364" s="5"/>
      <c r="C364" s="5"/>
      <c r="D364" s="5"/>
      <c r="E364" s="5"/>
      <c r="F364" s="5"/>
      <c r="G364" s="5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5"/>
      <c r="B365" s="5"/>
      <c r="C365" s="5"/>
      <c r="D365" s="5"/>
      <c r="E365" s="5"/>
      <c r="F365" s="5"/>
      <c r="G365" s="5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5"/>
      <c r="B366" s="5"/>
      <c r="C366" s="5"/>
      <c r="D366" s="5"/>
      <c r="E366" s="5"/>
      <c r="F366" s="5"/>
      <c r="G366" s="5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5"/>
      <c r="B367" s="5"/>
      <c r="C367" s="5"/>
      <c r="D367" s="5"/>
      <c r="E367" s="5"/>
      <c r="F367" s="5"/>
      <c r="G367" s="5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5"/>
      <c r="B368" s="5"/>
      <c r="C368" s="5"/>
      <c r="D368" s="5"/>
      <c r="E368" s="5"/>
      <c r="F368" s="5"/>
      <c r="G368" s="5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5"/>
      <c r="B369" s="5"/>
      <c r="C369" s="5"/>
      <c r="D369" s="5"/>
      <c r="E369" s="5"/>
      <c r="F369" s="5"/>
      <c r="G369" s="5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5"/>
      <c r="B370" s="5"/>
      <c r="C370" s="5"/>
      <c r="D370" s="5"/>
      <c r="E370" s="5"/>
      <c r="F370" s="5"/>
      <c r="G370" s="5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5"/>
      <c r="B371" s="5"/>
      <c r="C371" s="5"/>
      <c r="D371" s="5"/>
      <c r="E371" s="5"/>
      <c r="F371" s="5"/>
      <c r="G371" s="5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5"/>
      <c r="B372" s="5"/>
      <c r="C372" s="5"/>
      <c r="D372" s="5"/>
      <c r="E372" s="5"/>
      <c r="F372" s="5"/>
      <c r="G372" s="5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5"/>
      <c r="B373" s="5"/>
      <c r="C373" s="5"/>
      <c r="D373" s="5"/>
      <c r="E373" s="5"/>
      <c r="F373" s="5"/>
      <c r="G373" s="5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5"/>
      <c r="B374" s="5"/>
      <c r="C374" s="5"/>
      <c r="D374" s="5"/>
      <c r="E374" s="5"/>
      <c r="F374" s="5"/>
      <c r="G374" s="5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5"/>
      <c r="B375" s="5"/>
      <c r="C375" s="5"/>
      <c r="D375" s="5"/>
      <c r="E375" s="5"/>
      <c r="F375" s="5"/>
      <c r="G375" s="5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5"/>
      <c r="B376" s="5"/>
      <c r="C376" s="5"/>
      <c r="D376" s="5"/>
      <c r="E376" s="5"/>
      <c r="F376" s="5"/>
      <c r="G376" s="5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5"/>
      <c r="B377" s="5"/>
      <c r="C377" s="5"/>
      <c r="D377" s="5"/>
      <c r="E377" s="5"/>
      <c r="F377" s="5"/>
      <c r="G377" s="5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5"/>
      <c r="B378" s="5"/>
      <c r="C378" s="5"/>
      <c r="D378" s="5"/>
      <c r="E378" s="5"/>
      <c r="F378" s="5"/>
      <c r="G378" s="5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5"/>
      <c r="B379" s="5"/>
      <c r="C379" s="5"/>
      <c r="D379" s="5"/>
      <c r="E379" s="5"/>
      <c r="F379" s="5"/>
      <c r="G379" s="5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5"/>
      <c r="B380" s="5"/>
      <c r="C380" s="5"/>
      <c r="D380" s="5"/>
      <c r="E380" s="5"/>
      <c r="F380" s="5"/>
      <c r="G380" s="5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5"/>
      <c r="B381" s="5"/>
      <c r="C381" s="5"/>
      <c r="D381" s="5"/>
      <c r="E381" s="5"/>
      <c r="F381" s="5"/>
      <c r="G381" s="5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5"/>
      <c r="B382" s="5"/>
      <c r="C382" s="5"/>
      <c r="D382" s="5"/>
      <c r="E382" s="5"/>
      <c r="F382" s="5"/>
      <c r="G382" s="5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5"/>
      <c r="B383" s="5"/>
      <c r="C383" s="5"/>
      <c r="D383" s="5"/>
      <c r="E383" s="5"/>
      <c r="F383" s="5"/>
      <c r="G383" s="5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5"/>
      <c r="B384" s="5"/>
      <c r="C384" s="5"/>
      <c r="D384" s="5"/>
      <c r="E384" s="5"/>
      <c r="F384" s="5"/>
      <c r="G384" s="5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5"/>
      <c r="B385" s="5"/>
      <c r="C385" s="5"/>
      <c r="D385" s="5"/>
      <c r="E385" s="5"/>
      <c r="F385" s="5"/>
      <c r="G385" s="5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5"/>
      <c r="B386" s="5"/>
      <c r="C386" s="5"/>
      <c r="D386" s="5"/>
      <c r="E386" s="5"/>
      <c r="F386" s="5"/>
      <c r="G386" s="5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5"/>
      <c r="B387" s="5"/>
      <c r="C387" s="5"/>
      <c r="D387" s="5"/>
      <c r="E387" s="5"/>
      <c r="F387" s="5"/>
      <c r="G387" s="5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5"/>
      <c r="B388" s="5"/>
      <c r="C388" s="5"/>
      <c r="D388" s="5"/>
      <c r="E388" s="5"/>
      <c r="F388" s="5"/>
      <c r="G388" s="5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5"/>
      <c r="B389" s="5"/>
      <c r="C389" s="5"/>
      <c r="D389" s="5"/>
      <c r="E389" s="5"/>
      <c r="F389" s="5"/>
      <c r="G389" s="5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5"/>
      <c r="B390" s="5"/>
      <c r="C390" s="5"/>
      <c r="D390" s="5"/>
      <c r="E390" s="5"/>
      <c r="F390" s="5"/>
      <c r="G390" s="5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5"/>
      <c r="B391" s="5"/>
      <c r="C391" s="5"/>
      <c r="D391" s="5"/>
      <c r="E391" s="5"/>
      <c r="F391" s="5"/>
      <c r="G391" s="5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5"/>
      <c r="B392" s="5"/>
      <c r="C392" s="5"/>
      <c r="D392" s="5"/>
      <c r="E392" s="5"/>
      <c r="F392" s="5"/>
      <c r="G392" s="5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5"/>
      <c r="B393" s="5"/>
      <c r="C393" s="5"/>
      <c r="D393" s="5"/>
      <c r="E393" s="5"/>
      <c r="F393" s="5"/>
      <c r="G393" s="5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5"/>
      <c r="B394" s="5"/>
      <c r="C394" s="5"/>
      <c r="D394" s="5"/>
      <c r="E394" s="5"/>
      <c r="F394" s="5"/>
      <c r="G394" s="5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5"/>
      <c r="B395" s="5"/>
      <c r="C395" s="5"/>
      <c r="D395" s="5"/>
      <c r="E395" s="5"/>
      <c r="F395" s="5"/>
      <c r="G395" s="5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5"/>
      <c r="B396" s="5"/>
      <c r="C396" s="5"/>
      <c r="D396" s="5"/>
      <c r="E396" s="5"/>
      <c r="F396" s="5"/>
      <c r="G396" s="5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5"/>
      <c r="B397" s="5"/>
      <c r="C397" s="5"/>
      <c r="D397" s="5"/>
      <c r="E397" s="5"/>
      <c r="F397" s="5"/>
      <c r="G397" s="5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5"/>
      <c r="B398" s="5"/>
      <c r="C398" s="5"/>
      <c r="D398" s="5"/>
      <c r="E398" s="5"/>
      <c r="F398" s="5"/>
      <c r="G398" s="5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5"/>
      <c r="B399" s="5"/>
      <c r="C399" s="5"/>
      <c r="D399" s="5"/>
      <c r="E399" s="5"/>
      <c r="F399" s="5"/>
      <c r="G399" s="5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5"/>
      <c r="B400" s="5"/>
      <c r="C400" s="5"/>
      <c r="D400" s="5"/>
      <c r="E400" s="5"/>
      <c r="F400" s="5"/>
      <c r="G400" s="5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5"/>
      <c r="B401" s="5"/>
      <c r="C401" s="5"/>
      <c r="D401" s="5"/>
      <c r="E401" s="5"/>
      <c r="F401" s="5"/>
      <c r="G401" s="5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5"/>
      <c r="B402" s="5"/>
      <c r="C402" s="5"/>
      <c r="D402" s="5"/>
      <c r="E402" s="5"/>
      <c r="F402" s="5"/>
      <c r="G402" s="5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5"/>
      <c r="B403" s="5"/>
      <c r="C403" s="5"/>
      <c r="D403" s="5"/>
      <c r="E403" s="5"/>
      <c r="F403" s="5"/>
      <c r="G403" s="5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5"/>
      <c r="B404" s="5"/>
      <c r="C404" s="5"/>
      <c r="D404" s="5"/>
      <c r="E404" s="5"/>
      <c r="F404" s="5"/>
      <c r="G404" s="5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5"/>
      <c r="B405" s="5"/>
      <c r="C405" s="5"/>
      <c r="D405" s="5"/>
      <c r="E405" s="5"/>
      <c r="F405" s="5"/>
      <c r="G405" s="5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5"/>
      <c r="B406" s="5"/>
      <c r="C406" s="5"/>
      <c r="D406" s="5"/>
      <c r="E406" s="5"/>
      <c r="F406" s="5"/>
      <c r="G406" s="5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5"/>
      <c r="B407" s="5"/>
      <c r="C407" s="5"/>
      <c r="D407" s="5"/>
      <c r="E407" s="5"/>
      <c r="F407" s="5"/>
      <c r="G407" s="5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5"/>
      <c r="B408" s="5"/>
      <c r="C408" s="5"/>
      <c r="D408" s="5"/>
      <c r="E408" s="5"/>
      <c r="F408" s="5"/>
      <c r="G408" s="5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5"/>
      <c r="B409" s="5"/>
      <c r="C409" s="5"/>
      <c r="D409" s="5"/>
      <c r="E409" s="5"/>
      <c r="F409" s="5"/>
      <c r="G409" s="5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5"/>
      <c r="B410" s="5"/>
      <c r="C410" s="5"/>
      <c r="D410" s="5"/>
      <c r="E410" s="5"/>
      <c r="F410" s="5"/>
      <c r="G410" s="5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5"/>
      <c r="B411" s="5"/>
      <c r="C411" s="5"/>
      <c r="D411" s="5"/>
      <c r="E411" s="5"/>
      <c r="F411" s="5"/>
      <c r="G411" s="5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5"/>
      <c r="B412" s="5"/>
      <c r="C412" s="5"/>
      <c r="D412" s="5"/>
      <c r="E412" s="5"/>
      <c r="F412" s="5"/>
      <c r="G412" s="5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5"/>
      <c r="B413" s="5"/>
      <c r="C413" s="5"/>
      <c r="D413" s="5"/>
      <c r="E413" s="5"/>
      <c r="F413" s="5"/>
      <c r="G413" s="5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5"/>
      <c r="B414" s="5"/>
      <c r="C414" s="5"/>
      <c r="D414" s="5"/>
      <c r="E414" s="5"/>
      <c r="F414" s="5"/>
      <c r="G414" s="5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5"/>
      <c r="B415" s="5"/>
      <c r="C415" s="5"/>
      <c r="D415" s="5"/>
      <c r="E415" s="5"/>
      <c r="F415" s="5"/>
      <c r="G415" s="5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5"/>
      <c r="B416" s="5"/>
      <c r="C416" s="5"/>
      <c r="D416" s="5"/>
      <c r="E416" s="5"/>
      <c r="F416" s="5"/>
      <c r="G416" s="5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5"/>
      <c r="B417" s="5"/>
      <c r="C417" s="5"/>
      <c r="D417" s="5"/>
      <c r="E417" s="5"/>
      <c r="F417" s="5"/>
      <c r="G417" s="5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5"/>
      <c r="B418" s="5"/>
      <c r="C418" s="5"/>
      <c r="D418" s="5"/>
      <c r="E418" s="5"/>
      <c r="F418" s="5"/>
      <c r="G418" s="5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5"/>
      <c r="B419" s="5"/>
      <c r="C419" s="5"/>
      <c r="D419" s="5"/>
      <c r="E419" s="5"/>
      <c r="F419" s="5"/>
      <c r="G419" s="5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5"/>
      <c r="B420" s="5"/>
      <c r="C420" s="5"/>
      <c r="D420" s="5"/>
      <c r="E420" s="5"/>
      <c r="F420" s="5"/>
      <c r="G420" s="5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5"/>
      <c r="B421" s="5"/>
      <c r="C421" s="5"/>
      <c r="D421" s="5"/>
      <c r="E421" s="5"/>
      <c r="F421" s="5"/>
      <c r="G421" s="5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5"/>
      <c r="B422" s="5"/>
      <c r="C422" s="5"/>
      <c r="D422" s="5"/>
      <c r="E422" s="5"/>
      <c r="F422" s="5"/>
      <c r="G422" s="5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5"/>
      <c r="B423" s="5"/>
      <c r="C423" s="5"/>
      <c r="D423" s="5"/>
      <c r="E423" s="5"/>
      <c r="F423" s="5"/>
      <c r="G423" s="5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5"/>
      <c r="B424" s="5"/>
      <c r="C424" s="5"/>
      <c r="D424" s="5"/>
      <c r="E424" s="5"/>
      <c r="F424" s="5"/>
      <c r="G424" s="5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5"/>
      <c r="B425" s="5"/>
      <c r="C425" s="5"/>
      <c r="D425" s="5"/>
      <c r="E425" s="5"/>
      <c r="F425" s="5"/>
      <c r="G425" s="5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5"/>
      <c r="B426" s="5"/>
      <c r="C426" s="5"/>
      <c r="D426" s="5"/>
      <c r="E426" s="5"/>
      <c r="F426" s="5"/>
      <c r="G426" s="5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5"/>
      <c r="B427" s="5"/>
      <c r="C427" s="5"/>
      <c r="D427" s="5"/>
      <c r="E427" s="5"/>
      <c r="F427" s="5"/>
      <c r="G427" s="5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5"/>
      <c r="B428" s="5"/>
      <c r="C428" s="5"/>
      <c r="D428" s="5"/>
      <c r="E428" s="5"/>
      <c r="F428" s="5"/>
      <c r="G428" s="5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5"/>
      <c r="B429" s="5"/>
      <c r="C429" s="5"/>
      <c r="D429" s="5"/>
      <c r="E429" s="5"/>
      <c r="F429" s="5"/>
      <c r="G429" s="5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5"/>
      <c r="B430" s="5"/>
      <c r="C430" s="5"/>
      <c r="D430" s="5"/>
      <c r="E430" s="5"/>
      <c r="F430" s="5"/>
      <c r="G430" s="5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5"/>
      <c r="B431" s="5"/>
      <c r="C431" s="5"/>
      <c r="D431" s="5"/>
      <c r="E431" s="5"/>
      <c r="F431" s="5"/>
      <c r="G431" s="5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5"/>
      <c r="B432" s="5"/>
      <c r="C432" s="5"/>
      <c r="D432" s="5"/>
      <c r="E432" s="5"/>
      <c r="F432" s="5"/>
      <c r="G432" s="5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5"/>
      <c r="B433" s="5"/>
      <c r="C433" s="5"/>
      <c r="D433" s="5"/>
      <c r="E433" s="5"/>
      <c r="F433" s="5"/>
      <c r="G433" s="5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5"/>
      <c r="B434" s="5"/>
      <c r="C434" s="5"/>
      <c r="D434" s="5"/>
      <c r="E434" s="5"/>
      <c r="F434" s="5"/>
      <c r="G434" s="5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5"/>
      <c r="B435" s="5"/>
      <c r="C435" s="5"/>
      <c r="D435" s="5"/>
      <c r="E435" s="5"/>
      <c r="F435" s="5"/>
      <c r="G435" s="5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5"/>
      <c r="B436" s="5"/>
      <c r="C436" s="5"/>
      <c r="D436" s="5"/>
      <c r="E436" s="5"/>
      <c r="F436" s="5"/>
      <c r="G436" s="5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5"/>
      <c r="B437" s="5"/>
      <c r="C437" s="5"/>
      <c r="D437" s="5"/>
      <c r="E437" s="5"/>
      <c r="F437" s="5"/>
      <c r="G437" s="5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5"/>
      <c r="B438" s="5"/>
      <c r="C438" s="5"/>
      <c r="D438" s="5"/>
      <c r="E438" s="5"/>
      <c r="F438" s="5"/>
      <c r="G438" s="5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5"/>
      <c r="B439" s="5"/>
      <c r="C439" s="5"/>
      <c r="D439" s="5"/>
      <c r="E439" s="5"/>
      <c r="F439" s="5"/>
      <c r="G439" s="5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5"/>
      <c r="B440" s="5"/>
      <c r="C440" s="5"/>
      <c r="D440" s="5"/>
      <c r="E440" s="5"/>
      <c r="F440" s="5"/>
      <c r="G440" s="5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5"/>
      <c r="B441" s="5"/>
      <c r="C441" s="5"/>
      <c r="D441" s="5"/>
      <c r="E441" s="5"/>
      <c r="F441" s="5"/>
      <c r="G441" s="5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5"/>
      <c r="B442" s="5"/>
      <c r="C442" s="5"/>
      <c r="D442" s="5"/>
      <c r="E442" s="5"/>
      <c r="F442" s="5"/>
      <c r="G442" s="5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5"/>
      <c r="B443" s="5"/>
      <c r="C443" s="5"/>
      <c r="D443" s="5"/>
      <c r="E443" s="5"/>
      <c r="F443" s="5"/>
      <c r="G443" s="5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5"/>
      <c r="B444" s="5"/>
      <c r="C444" s="5"/>
      <c r="D444" s="5"/>
      <c r="E444" s="5"/>
      <c r="F444" s="5"/>
      <c r="G444" s="5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5"/>
      <c r="B445" s="5"/>
      <c r="C445" s="5"/>
      <c r="D445" s="5"/>
      <c r="E445" s="5"/>
      <c r="F445" s="5"/>
      <c r="G445" s="5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5"/>
      <c r="B446" s="5"/>
      <c r="C446" s="5"/>
      <c r="D446" s="5"/>
      <c r="E446" s="5"/>
      <c r="F446" s="5"/>
      <c r="G446" s="5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5"/>
      <c r="B447" s="5"/>
      <c r="C447" s="5"/>
      <c r="D447" s="5"/>
      <c r="E447" s="5"/>
      <c r="F447" s="5"/>
      <c r="G447" s="5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5"/>
      <c r="B448" s="5"/>
      <c r="C448" s="5"/>
      <c r="D448" s="5"/>
      <c r="E448" s="5"/>
      <c r="F448" s="5"/>
      <c r="G448" s="5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5"/>
      <c r="B449" s="5"/>
      <c r="C449" s="5"/>
      <c r="D449" s="5"/>
      <c r="E449" s="5"/>
      <c r="F449" s="5"/>
      <c r="G449" s="5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5"/>
      <c r="B450" s="5"/>
      <c r="C450" s="5"/>
      <c r="D450" s="5"/>
      <c r="E450" s="5"/>
      <c r="F450" s="5"/>
      <c r="G450" s="5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5"/>
      <c r="B451" s="5"/>
      <c r="C451" s="5"/>
      <c r="D451" s="5"/>
      <c r="E451" s="5"/>
      <c r="F451" s="5"/>
      <c r="G451" s="5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5"/>
      <c r="B452" s="5"/>
      <c r="C452" s="5"/>
      <c r="D452" s="5"/>
      <c r="E452" s="5"/>
      <c r="F452" s="5"/>
      <c r="G452" s="5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5"/>
      <c r="B453" s="5"/>
      <c r="C453" s="5"/>
      <c r="D453" s="5"/>
      <c r="E453" s="5"/>
      <c r="F453" s="5"/>
      <c r="G453" s="5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5"/>
      <c r="B454" s="5"/>
      <c r="C454" s="5"/>
      <c r="D454" s="5"/>
      <c r="E454" s="5"/>
      <c r="F454" s="5"/>
      <c r="G454" s="5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5"/>
      <c r="B455" s="5"/>
      <c r="C455" s="5"/>
      <c r="D455" s="5"/>
      <c r="E455" s="5"/>
      <c r="F455" s="5"/>
      <c r="G455" s="5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5"/>
      <c r="B456" s="5"/>
      <c r="C456" s="5"/>
      <c r="D456" s="5"/>
      <c r="E456" s="5"/>
      <c r="F456" s="5"/>
      <c r="G456" s="5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5"/>
      <c r="B457" s="5"/>
      <c r="C457" s="5"/>
      <c r="D457" s="5"/>
      <c r="E457" s="5"/>
      <c r="F457" s="5"/>
      <c r="G457" s="5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5"/>
      <c r="B458" s="5"/>
      <c r="C458" s="5"/>
      <c r="D458" s="5"/>
      <c r="E458" s="5"/>
      <c r="F458" s="5"/>
      <c r="G458" s="5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5"/>
      <c r="B459" s="5"/>
      <c r="C459" s="5"/>
      <c r="D459" s="5"/>
      <c r="E459" s="5"/>
      <c r="F459" s="5"/>
      <c r="G459" s="5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5"/>
      <c r="B460" s="5"/>
      <c r="C460" s="5"/>
      <c r="D460" s="5"/>
      <c r="E460" s="5"/>
      <c r="F460" s="5"/>
      <c r="G460" s="5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5"/>
      <c r="B461" s="5"/>
      <c r="C461" s="5"/>
      <c r="D461" s="5"/>
      <c r="E461" s="5"/>
      <c r="F461" s="5"/>
      <c r="G461" s="5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5"/>
      <c r="B462" s="5"/>
      <c r="C462" s="5"/>
      <c r="D462" s="5"/>
      <c r="E462" s="5"/>
      <c r="F462" s="5"/>
      <c r="G462" s="5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5"/>
      <c r="B463" s="5"/>
      <c r="C463" s="5"/>
      <c r="D463" s="5"/>
      <c r="E463" s="5"/>
      <c r="F463" s="5"/>
      <c r="G463" s="5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5"/>
      <c r="B464" s="5"/>
      <c r="C464" s="5"/>
      <c r="D464" s="5"/>
      <c r="E464" s="5"/>
      <c r="F464" s="5"/>
      <c r="G464" s="5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5"/>
      <c r="B465" s="5"/>
      <c r="C465" s="5"/>
      <c r="D465" s="5"/>
      <c r="E465" s="5"/>
      <c r="F465" s="5"/>
      <c r="G465" s="5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5"/>
      <c r="B466" s="5"/>
      <c r="C466" s="5"/>
      <c r="D466" s="5"/>
      <c r="E466" s="5"/>
      <c r="F466" s="5"/>
      <c r="G466" s="5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5"/>
      <c r="B467" s="5"/>
      <c r="C467" s="5"/>
      <c r="D467" s="5"/>
      <c r="E467" s="5"/>
      <c r="F467" s="5"/>
      <c r="G467" s="5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5"/>
      <c r="B468" s="5"/>
      <c r="C468" s="5"/>
      <c r="D468" s="5"/>
      <c r="E468" s="5"/>
      <c r="F468" s="5"/>
      <c r="G468" s="5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5"/>
      <c r="B469" s="5"/>
      <c r="C469" s="5"/>
      <c r="D469" s="5"/>
      <c r="E469" s="5"/>
      <c r="F469" s="5"/>
      <c r="G469" s="5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5"/>
      <c r="B470" s="5"/>
      <c r="C470" s="5"/>
      <c r="D470" s="5"/>
      <c r="E470" s="5"/>
      <c r="F470" s="5"/>
      <c r="G470" s="5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5"/>
      <c r="B471" s="5"/>
      <c r="C471" s="5"/>
      <c r="D471" s="5"/>
      <c r="E471" s="5"/>
      <c r="F471" s="5"/>
      <c r="G471" s="5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5"/>
      <c r="B472" s="5"/>
      <c r="C472" s="5"/>
      <c r="D472" s="5"/>
      <c r="E472" s="5"/>
      <c r="F472" s="5"/>
      <c r="G472" s="5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5"/>
      <c r="B473" s="5"/>
      <c r="C473" s="5"/>
      <c r="D473" s="5"/>
      <c r="E473" s="5"/>
      <c r="F473" s="5"/>
      <c r="G473" s="5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5"/>
      <c r="B474" s="5"/>
      <c r="C474" s="5"/>
      <c r="D474" s="5"/>
      <c r="E474" s="5"/>
      <c r="F474" s="5"/>
      <c r="G474" s="5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5"/>
      <c r="B475" s="5"/>
      <c r="C475" s="5"/>
      <c r="D475" s="5"/>
      <c r="E475" s="5"/>
      <c r="F475" s="5"/>
      <c r="G475" s="5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5"/>
      <c r="B476" s="5"/>
      <c r="C476" s="5"/>
      <c r="D476" s="5"/>
      <c r="E476" s="5"/>
      <c r="F476" s="5"/>
      <c r="G476" s="5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5"/>
      <c r="B477" s="5"/>
      <c r="C477" s="5"/>
      <c r="D477" s="5"/>
      <c r="E477" s="5"/>
      <c r="F477" s="5"/>
      <c r="G477" s="5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5"/>
      <c r="B478" s="5"/>
      <c r="C478" s="5"/>
      <c r="D478" s="5"/>
      <c r="E478" s="5"/>
      <c r="F478" s="5"/>
      <c r="G478" s="5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5"/>
      <c r="B479" s="5"/>
      <c r="C479" s="5"/>
      <c r="D479" s="5"/>
      <c r="E479" s="5"/>
      <c r="F479" s="5"/>
      <c r="G479" s="5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5"/>
      <c r="B480" s="5"/>
      <c r="C480" s="5"/>
      <c r="D480" s="5"/>
      <c r="E480" s="5"/>
      <c r="F480" s="5"/>
      <c r="G480" s="5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5"/>
      <c r="B481" s="5"/>
      <c r="C481" s="5"/>
      <c r="D481" s="5"/>
      <c r="E481" s="5"/>
      <c r="F481" s="5"/>
      <c r="G481" s="5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5"/>
      <c r="B482" s="5"/>
      <c r="C482" s="5"/>
      <c r="D482" s="5"/>
      <c r="E482" s="5"/>
      <c r="F482" s="5"/>
      <c r="G482" s="5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5"/>
      <c r="B483" s="5"/>
      <c r="C483" s="5"/>
      <c r="D483" s="5"/>
      <c r="E483" s="5"/>
      <c r="F483" s="5"/>
      <c r="G483" s="5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5"/>
      <c r="B484" s="5"/>
      <c r="C484" s="5"/>
      <c r="D484" s="5"/>
      <c r="E484" s="5"/>
      <c r="F484" s="5"/>
      <c r="G484" s="5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5"/>
      <c r="B485" s="5"/>
      <c r="C485" s="5"/>
      <c r="D485" s="5"/>
      <c r="E485" s="5"/>
      <c r="F485" s="5"/>
      <c r="G485" s="5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5"/>
      <c r="B486" s="5"/>
      <c r="C486" s="5"/>
      <c r="D486" s="5"/>
      <c r="E486" s="5"/>
      <c r="F486" s="5"/>
      <c r="G486" s="5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5"/>
      <c r="B487" s="5"/>
      <c r="C487" s="5"/>
      <c r="D487" s="5"/>
      <c r="E487" s="5"/>
      <c r="F487" s="5"/>
      <c r="G487" s="5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5"/>
      <c r="B488" s="5"/>
      <c r="C488" s="5"/>
      <c r="D488" s="5"/>
      <c r="E488" s="5"/>
      <c r="F488" s="5"/>
      <c r="G488" s="5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5"/>
      <c r="B489" s="5"/>
      <c r="C489" s="5"/>
      <c r="D489" s="5"/>
      <c r="E489" s="5"/>
      <c r="F489" s="5"/>
      <c r="G489" s="5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5"/>
      <c r="B490" s="5"/>
      <c r="C490" s="5"/>
      <c r="D490" s="5"/>
      <c r="E490" s="5"/>
      <c r="F490" s="5"/>
      <c r="G490" s="5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5"/>
      <c r="B491" s="5"/>
      <c r="C491" s="5"/>
      <c r="D491" s="5"/>
      <c r="E491" s="5"/>
      <c r="F491" s="5"/>
      <c r="G491" s="5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5"/>
      <c r="B492" s="5"/>
      <c r="C492" s="5"/>
      <c r="D492" s="5"/>
      <c r="E492" s="5"/>
      <c r="F492" s="5"/>
      <c r="G492" s="5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5"/>
      <c r="B493" s="5"/>
      <c r="C493" s="5"/>
      <c r="D493" s="5"/>
      <c r="E493" s="5"/>
      <c r="F493" s="5"/>
      <c r="G493" s="5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5"/>
      <c r="B494" s="5"/>
      <c r="C494" s="5"/>
      <c r="D494" s="5"/>
      <c r="E494" s="5"/>
      <c r="F494" s="5"/>
      <c r="G494" s="5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5"/>
      <c r="B495" s="5"/>
      <c r="C495" s="5"/>
      <c r="D495" s="5"/>
      <c r="E495" s="5"/>
      <c r="F495" s="5"/>
      <c r="G495" s="5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5"/>
      <c r="B496" s="5"/>
      <c r="C496" s="5"/>
      <c r="D496" s="5"/>
      <c r="E496" s="5"/>
      <c r="F496" s="5"/>
      <c r="G496" s="5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5"/>
      <c r="B497" s="5"/>
      <c r="C497" s="5"/>
      <c r="D497" s="5"/>
      <c r="E497" s="5"/>
      <c r="F497" s="5"/>
      <c r="G497" s="5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5"/>
      <c r="B498" s="5"/>
      <c r="C498" s="5"/>
      <c r="D498" s="5"/>
      <c r="E498" s="5"/>
      <c r="F498" s="5"/>
      <c r="G498" s="5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5"/>
      <c r="B499" s="5"/>
      <c r="C499" s="5"/>
      <c r="D499" s="5"/>
      <c r="E499" s="5"/>
      <c r="F499" s="5"/>
      <c r="G499" s="5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5"/>
      <c r="B500" s="5"/>
      <c r="C500" s="5"/>
      <c r="D500" s="5"/>
      <c r="E500" s="5"/>
      <c r="F500" s="5"/>
      <c r="G500" s="5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5"/>
      <c r="B501" s="5"/>
      <c r="C501" s="5"/>
      <c r="D501" s="5"/>
      <c r="E501" s="5"/>
      <c r="F501" s="5"/>
      <c r="G501" s="5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5"/>
      <c r="B502" s="5"/>
      <c r="C502" s="5"/>
      <c r="D502" s="5"/>
      <c r="E502" s="5"/>
      <c r="F502" s="5"/>
      <c r="G502" s="5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5"/>
      <c r="B503" s="5"/>
      <c r="C503" s="5"/>
      <c r="D503" s="5"/>
      <c r="E503" s="5"/>
      <c r="F503" s="5"/>
      <c r="G503" s="5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5"/>
      <c r="B504" s="5"/>
      <c r="C504" s="5"/>
      <c r="D504" s="5"/>
      <c r="E504" s="5"/>
      <c r="F504" s="5"/>
      <c r="G504" s="5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5"/>
      <c r="B505" s="5"/>
      <c r="C505" s="5"/>
      <c r="D505" s="5"/>
      <c r="E505" s="5"/>
      <c r="F505" s="5"/>
      <c r="G505" s="5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5"/>
      <c r="B506" s="5"/>
      <c r="C506" s="5"/>
      <c r="D506" s="5"/>
      <c r="E506" s="5"/>
      <c r="F506" s="5"/>
      <c r="G506" s="5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5"/>
      <c r="B507" s="5"/>
      <c r="C507" s="5"/>
      <c r="D507" s="5"/>
      <c r="E507" s="5"/>
      <c r="F507" s="5"/>
      <c r="G507" s="5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5"/>
      <c r="B508" s="5"/>
      <c r="C508" s="5"/>
      <c r="D508" s="5"/>
      <c r="E508" s="5"/>
      <c r="F508" s="5"/>
      <c r="G508" s="5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5"/>
      <c r="B509" s="5"/>
      <c r="C509" s="5"/>
      <c r="D509" s="5"/>
      <c r="E509" s="5"/>
      <c r="F509" s="5"/>
      <c r="G509" s="5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5"/>
      <c r="B510" s="5"/>
      <c r="C510" s="5"/>
      <c r="D510" s="5"/>
      <c r="E510" s="5"/>
      <c r="F510" s="5"/>
      <c r="G510" s="5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5"/>
      <c r="B511" s="5"/>
      <c r="C511" s="5"/>
      <c r="D511" s="5"/>
      <c r="E511" s="5"/>
      <c r="F511" s="5"/>
      <c r="G511" s="5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5"/>
      <c r="B512" s="5"/>
      <c r="C512" s="5"/>
      <c r="D512" s="5"/>
      <c r="E512" s="5"/>
      <c r="F512" s="5"/>
      <c r="G512" s="5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5"/>
      <c r="B513" s="5"/>
      <c r="C513" s="5"/>
      <c r="D513" s="5"/>
      <c r="E513" s="5"/>
      <c r="F513" s="5"/>
      <c r="G513" s="5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5"/>
      <c r="B514" s="5"/>
      <c r="C514" s="5"/>
      <c r="D514" s="5"/>
      <c r="E514" s="5"/>
      <c r="F514" s="5"/>
      <c r="G514" s="5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5"/>
      <c r="B515" s="5"/>
      <c r="C515" s="5"/>
      <c r="D515" s="5"/>
      <c r="E515" s="5"/>
      <c r="F515" s="5"/>
      <c r="G515" s="5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5"/>
      <c r="B516" s="5"/>
      <c r="C516" s="5"/>
      <c r="D516" s="5"/>
      <c r="E516" s="5"/>
      <c r="F516" s="5"/>
      <c r="G516" s="5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5"/>
      <c r="B517" s="5"/>
      <c r="C517" s="5"/>
      <c r="D517" s="5"/>
      <c r="E517" s="5"/>
      <c r="F517" s="5"/>
      <c r="G517" s="5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5"/>
      <c r="B518" s="5"/>
      <c r="C518" s="5"/>
      <c r="D518" s="5"/>
      <c r="E518" s="5"/>
      <c r="F518" s="5"/>
      <c r="G518" s="5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5"/>
      <c r="B519" s="5"/>
      <c r="C519" s="5"/>
      <c r="D519" s="5"/>
      <c r="E519" s="5"/>
      <c r="F519" s="5"/>
      <c r="G519" s="5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5"/>
      <c r="B520" s="5"/>
      <c r="C520" s="5"/>
      <c r="D520" s="5"/>
      <c r="E520" s="5"/>
      <c r="F520" s="5"/>
      <c r="G520" s="5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5"/>
      <c r="B521" s="5"/>
      <c r="C521" s="5"/>
      <c r="D521" s="5"/>
      <c r="E521" s="5"/>
      <c r="F521" s="5"/>
      <c r="G521" s="5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5"/>
      <c r="B522" s="5"/>
      <c r="C522" s="5"/>
      <c r="D522" s="5"/>
      <c r="E522" s="5"/>
      <c r="F522" s="5"/>
      <c r="G522" s="5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5"/>
      <c r="B523" s="5"/>
      <c r="C523" s="5"/>
      <c r="D523" s="5"/>
      <c r="E523" s="5"/>
      <c r="F523" s="5"/>
      <c r="G523" s="5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5"/>
      <c r="B524" s="5"/>
      <c r="C524" s="5"/>
      <c r="D524" s="5"/>
      <c r="E524" s="5"/>
      <c r="F524" s="5"/>
      <c r="G524" s="5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5"/>
      <c r="B525" s="5"/>
      <c r="C525" s="5"/>
      <c r="D525" s="5"/>
      <c r="E525" s="5"/>
      <c r="F525" s="5"/>
      <c r="G525" s="5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5"/>
      <c r="B526" s="5"/>
      <c r="C526" s="5"/>
      <c r="D526" s="5"/>
      <c r="E526" s="5"/>
      <c r="F526" s="5"/>
      <c r="G526" s="5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5"/>
      <c r="B527" s="5"/>
      <c r="C527" s="5"/>
      <c r="D527" s="5"/>
      <c r="E527" s="5"/>
      <c r="F527" s="5"/>
      <c r="G527" s="5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5"/>
      <c r="B528" s="5"/>
      <c r="C528" s="5"/>
      <c r="D528" s="5"/>
      <c r="E528" s="5"/>
      <c r="F528" s="5"/>
      <c r="G528" s="5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5"/>
      <c r="B529" s="5"/>
      <c r="C529" s="5"/>
      <c r="D529" s="5"/>
      <c r="E529" s="5"/>
      <c r="F529" s="5"/>
      <c r="G529" s="5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5"/>
      <c r="B530" s="5"/>
      <c r="C530" s="5"/>
      <c r="D530" s="5"/>
      <c r="E530" s="5"/>
      <c r="F530" s="5"/>
      <c r="G530" s="5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5"/>
      <c r="B531" s="5"/>
      <c r="C531" s="5"/>
      <c r="D531" s="5"/>
      <c r="E531" s="5"/>
      <c r="F531" s="5"/>
      <c r="G531" s="5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5"/>
      <c r="B532" s="5"/>
      <c r="C532" s="5"/>
      <c r="D532" s="5"/>
      <c r="E532" s="5"/>
      <c r="F532" s="5"/>
      <c r="G532" s="5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5"/>
      <c r="B533" s="5"/>
      <c r="C533" s="5"/>
      <c r="D533" s="5"/>
      <c r="E533" s="5"/>
      <c r="F533" s="5"/>
      <c r="G533" s="5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5"/>
      <c r="B534" s="5"/>
      <c r="C534" s="5"/>
      <c r="D534" s="5"/>
      <c r="E534" s="5"/>
      <c r="F534" s="5"/>
      <c r="G534" s="5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5"/>
      <c r="B535" s="5"/>
      <c r="C535" s="5"/>
      <c r="D535" s="5"/>
      <c r="E535" s="5"/>
      <c r="F535" s="5"/>
      <c r="G535" s="5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5"/>
      <c r="B536" s="5"/>
      <c r="C536" s="5"/>
      <c r="D536" s="5"/>
      <c r="E536" s="5"/>
      <c r="F536" s="5"/>
      <c r="G536" s="5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5"/>
      <c r="B537" s="5"/>
      <c r="C537" s="5"/>
      <c r="D537" s="5"/>
      <c r="E537" s="5"/>
      <c r="F537" s="5"/>
      <c r="G537" s="5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5"/>
      <c r="B538" s="5"/>
      <c r="C538" s="5"/>
      <c r="D538" s="5"/>
      <c r="E538" s="5"/>
      <c r="F538" s="5"/>
      <c r="G538" s="5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5"/>
      <c r="B539" s="5"/>
      <c r="C539" s="5"/>
      <c r="D539" s="5"/>
      <c r="E539" s="5"/>
      <c r="F539" s="5"/>
      <c r="G539" s="5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5"/>
      <c r="B540" s="5"/>
      <c r="C540" s="5"/>
      <c r="D540" s="5"/>
      <c r="E540" s="5"/>
      <c r="F540" s="5"/>
      <c r="G540" s="5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5"/>
      <c r="B541" s="5"/>
      <c r="C541" s="5"/>
      <c r="D541" s="5"/>
      <c r="E541" s="5"/>
      <c r="F541" s="5"/>
      <c r="G541" s="5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5"/>
      <c r="B542" s="5"/>
      <c r="C542" s="5"/>
      <c r="D542" s="5"/>
      <c r="E542" s="5"/>
      <c r="F542" s="5"/>
      <c r="G542" s="5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5"/>
      <c r="B543" s="5"/>
      <c r="C543" s="5"/>
      <c r="D543" s="5"/>
      <c r="E543" s="5"/>
      <c r="F543" s="5"/>
      <c r="G543" s="5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5"/>
      <c r="B544" s="5"/>
      <c r="C544" s="5"/>
      <c r="D544" s="5"/>
      <c r="E544" s="5"/>
      <c r="F544" s="5"/>
      <c r="G544" s="5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5"/>
      <c r="B545" s="5"/>
      <c r="C545" s="5"/>
      <c r="D545" s="5"/>
      <c r="E545" s="5"/>
      <c r="F545" s="5"/>
      <c r="G545" s="5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5"/>
      <c r="B546" s="5"/>
      <c r="C546" s="5"/>
      <c r="D546" s="5"/>
      <c r="E546" s="5"/>
      <c r="F546" s="5"/>
      <c r="G546" s="5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5"/>
      <c r="B547" s="5"/>
      <c r="C547" s="5"/>
      <c r="D547" s="5"/>
      <c r="E547" s="5"/>
      <c r="F547" s="5"/>
      <c r="G547" s="5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5"/>
      <c r="B548" s="5"/>
      <c r="C548" s="5"/>
      <c r="D548" s="5"/>
      <c r="E548" s="5"/>
      <c r="F548" s="5"/>
      <c r="G548" s="5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5"/>
      <c r="B549" s="5"/>
      <c r="C549" s="5"/>
      <c r="D549" s="5"/>
      <c r="E549" s="5"/>
      <c r="F549" s="5"/>
      <c r="G549" s="5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5"/>
      <c r="B550" s="5"/>
      <c r="C550" s="5"/>
      <c r="D550" s="5"/>
      <c r="E550" s="5"/>
      <c r="F550" s="5"/>
      <c r="G550" s="5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5"/>
      <c r="B551" s="5"/>
      <c r="C551" s="5"/>
      <c r="D551" s="5"/>
      <c r="E551" s="5"/>
      <c r="F551" s="5"/>
      <c r="G551" s="5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5"/>
      <c r="B552" s="5"/>
      <c r="C552" s="5"/>
      <c r="D552" s="5"/>
      <c r="E552" s="5"/>
      <c r="F552" s="5"/>
      <c r="G552" s="5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5"/>
      <c r="B553" s="5"/>
      <c r="C553" s="5"/>
      <c r="D553" s="5"/>
      <c r="E553" s="5"/>
      <c r="F553" s="5"/>
      <c r="G553" s="5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5"/>
      <c r="B554" s="5"/>
      <c r="C554" s="5"/>
      <c r="D554" s="5"/>
      <c r="E554" s="5"/>
      <c r="F554" s="5"/>
      <c r="G554" s="5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5"/>
      <c r="B555" s="5"/>
      <c r="C555" s="5"/>
      <c r="D555" s="5"/>
      <c r="E555" s="5"/>
      <c r="F555" s="5"/>
      <c r="G555" s="5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5"/>
      <c r="B556" s="5"/>
      <c r="C556" s="5"/>
      <c r="D556" s="5"/>
      <c r="E556" s="5"/>
      <c r="F556" s="5"/>
      <c r="G556" s="5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5"/>
      <c r="B557" s="5"/>
      <c r="C557" s="5"/>
      <c r="D557" s="5"/>
      <c r="E557" s="5"/>
      <c r="F557" s="5"/>
      <c r="G557" s="5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5"/>
      <c r="B558" s="5"/>
      <c r="C558" s="5"/>
      <c r="D558" s="5"/>
      <c r="E558" s="5"/>
      <c r="F558" s="5"/>
      <c r="G558" s="5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5"/>
      <c r="B559" s="5"/>
      <c r="C559" s="5"/>
      <c r="D559" s="5"/>
      <c r="E559" s="5"/>
      <c r="F559" s="5"/>
      <c r="G559" s="5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5"/>
      <c r="B560" s="5"/>
      <c r="C560" s="5"/>
      <c r="D560" s="5"/>
      <c r="E560" s="5"/>
      <c r="F560" s="5"/>
      <c r="G560" s="5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5"/>
      <c r="B561" s="5"/>
      <c r="C561" s="5"/>
      <c r="D561" s="5"/>
      <c r="E561" s="5"/>
      <c r="F561" s="5"/>
      <c r="G561" s="5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5"/>
      <c r="B562" s="5"/>
      <c r="C562" s="5"/>
      <c r="D562" s="5"/>
      <c r="E562" s="5"/>
      <c r="F562" s="5"/>
      <c r="G562" s="5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5"/>
      <c r="B563" s="5"/>
      <c r="C563" s="5"/>
      <c r="D563" s="5"/>
      <c r="E563" s="5"/>
      <c r="F563" s="5"/>
      <c r="G563" s="5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5"/>
      <c r="B564" s="5"/>
      <c r="C564" s="5"/>
      <c r="D564" s="5"/>
      <c r="E564" s="5"/>
      <c r="F564" s="5"/>
      <c r="G564" s="5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5"/>
      <c r="B565" s="5"/>
      <c r="C565" s="5"/>
      <c r="D565" s="5"/>
      <c r="E565" s="5"/>
      <c r="F565" s="5"/>
      <c r="G565" s="5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5"/>
      <c r="B566" s="5"/>
      <c r="C566" s="5"/>
      <c r="D566" s="5"/>
      <c r="E566" s="5"/>
      <c r="F566" s="5"/>
      <c r="G566" s="5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5"/>
      <c r="B567" s="5"/>
      <c r="C567" s="5"/>
      <c r="D567" s="5"/>
      <c r="E567" s="5"/>
      <c r="F567" s="5"/>
      <c r="G567" s="5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5"/>
      <c r="B568" s="5"/>
      <c r="C568" s="5"/>
      <c r="D568" s="5"/>
      <c r="E568" s="5"/>
      <c r="F568" s="5"/>
      <c r="G568" s="5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5"/>
      <c r="B569" s="5"/>
      <c r="C569" s="5"/>
      <c r="D569" s="5"/>
      <c r="E569" s="5"/>
      <c r="F569" s="5"/>
      <c r="G569" s="5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5"/>
      <c r="B570" s="5"/>
      <c r="C570" s="5"/>
      <c r="D570" s="5"/>
      <c r="E570" s="5"/>
      <c r="F570" s="5"/>
      <c r="G570" s="5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5"/>
      <c r="B571" s="5"/>
      <c r="C571" s="5"/>
      <c r="D571" s="5"/>
      <c r="E571" s="5"/>
      <c r="F571" s="5"/>
      <c r="G571" s="5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5"/>
      <c r="B572" s="5"/>
      <c r="C572" s="5"/>
      <c r="D572" s="5"/>
      <c r="E572" s="5"/>
      <c r="F572" s="5"/>
      <c r="G572" s="5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5"/>
      <c r="B573" s="5"/>
      <c r="C573" s="5"/>
      <c r="D573" s="5"/>
      <c r="E573" s="5"/>
      <c r="F573" s="5"/>
      <c r="G573" s="5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5"/>
      <c r="B574" s="5"/>
      <c r="C574" s="5"/>
      <c r="D574" s="5"/>
      <c r="E574" s="5"/>
      <c r="F574" s="5"/>
      <c r="G574" s="5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5"/>
      <c r="B575" s="5"/>
      <c r="C575" s="5"/>
      <c r="D575" s="5"/>
      <c r="E575" s="5"/>
      <c r="F575" s="5"/>
      <c r="G575" s="5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5"/>
      <c r="B576" s="5"/>
      <c r="C576" s="5"/>
      <c r="D576" s="5"/>
      <c r="E576" s="5"/>
      <c r="F576" s="5"/>
      <c r="G576" s="5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5"/>
      <c r="B577" s="5"/>
      <c r="C577" s="5"/>
      <c r="D577" s="5"/>
      <c r="E577" s="5"/>
      <c r="F577" s="5"/>
      <c r="G577" s="5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5"/>
      <c r="B578" s="5"/>
      <c r="C578" s="5"/>
      <c r="D578" s="5"/>
      <c r="E578" s="5"/>
      <c r="F578" s="5"/>
      <c r="G578" s="5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5"/>
      <c r="B579" s="5"/>
      <c r="C579" s="5"/>
      <c r="D579" s="5"/>
      <c r="E579" s="5"/>
      <c r="F579" s="5"/>
      <c r="G579" s="5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5"/>
      <c r="B580" s="5"/>
      <c r="C580" s="5"/>
      <c r="D580" s="5"/>
      <c r="E580" s="5"/>
      <c r="F580" s="5"/>
      <c r="G580" s="5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5"/>
      <c r="B581" s="5"/>
      <c r="C581" s="5"/>
      <c r="D581" s="5"/>
      <c r="E581" s="5"/>
      <c r="F581" s="5"/>
      <c r="G581" s="5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5"/>
      <c r="B582" s="5"/>
      <c r="C582" s="5"/>
      <c r="D582" s="5"/>
      <c r="E582" s="5"/>
      <c r="F582" s="5"/>
      <c r="G582" s="5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5"/>
      <c r="B583" s="5"/>
      <c r="C583" s="5"/>
      <c r="D583" s="5"/>
      <c r="E583" s="5"/>
      <c r="F583" s="5"/>
      <c r="G583" s="5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5"/>
      <c r="B584" s="5"/>
      <c r="C584" s="5"/>
      <c r="D584" s="5"/>
      <c r="E584" s="5"/>
      <c r="F584" s="5"/>
      <c r="G584" s="5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5"/>
      <c r="B585" s="5"/>
      <c r="C585" s="5"/>
      <c r="D585" s="5"/>
      <c r="E585" s="5"/>
      <c r="F585" s="5"/>
      <c r="G585" s="5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5"/>
      <c r="B586" s="5"/>
      <c r="C586" s="5"/>
      <c r="D586" s="5"/>
      <c r="E586" s="5"/>
      <c r="F586" s="5"/>
      <c r="G586" s="5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5"/>
      <c r="B587" s="5"/>
      <c r="C587" s="5"/>
      <c r="D587" s="5"/>
      <c r="E587" s="5"/>
      <c r="F587" s="5"/>
      <c r="G587" s="5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5"/>
      <c r="B588" s="5"/>
      <c r="C588" s="5"/>
      <c r="D588" s="5"/>
      <c r="E588" s="5"/>
      <c r="F588" s="5"/>
      <c r="G588" s="5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5"/>
      <c r="B589" s="5"/>
      <c r="C589" s="5"/>
      <c r="D589" s="5"/>
      <c r="E589" s="5"/>
      <c r="F589" s="5"/>
      <c r="G589" s="5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5"/>
      <c r="B590" s="5"/>
      <c r="C590" s="5"/>
      <c r="D590" s="5"/>
      <c r="E590" s="5"/>
      <c r="F590" s="5"/>
      <c r="G590" s="5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5"/>
      <c r="B591" s="5"/>
      <c r="C591" s="5"/>
      <c r="D591" s="5"/>
      <c r="E591" s="5"/>
      <c r="F591" s="5"/>
      <c r="G591" s="5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5"/>
      <c r="B592" s="5"/>
      <c r="C592" s="5"/>
      <c r="D592" s="5"/>
      <c r="E592" s="5"/>
      <c r="F592" s="5"/>
      <c r="G592" s="5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5"/>
      <c r="B593" s="5"/>
      <c r="C593" s="5"/>
      <c r="D593" s="5"/>
      <c r="E593" s="5"/>
      <c r="F593" s="5"/>
      <c r="G593" s="5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5"/>
      <c r="B594" s="5"/>
      <c r="C594" s="5"/>
      <c r="D594" s="5"/>
      <c r="E594" s="5"/>
      <c r="F594" s="5"/>
      <c r="G594" s="5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5"/>
      <c r="B595" s="5"/>
      <c r="C595" s="5"/>
      <c r="D595" s="5"/>
      <c r="E595" s="5"/>
      <c r="F595" s="5"/>
      <c r="G595" s="5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5"/>
      <c r="B596" s="5"/>
      <c r="C596" s="5"/>
      <c r="D596" s="5"/>
      <c r="E596" s="5"/>
      <c r="F596" s="5"/>
      <c r="G596" s="5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5"/>
      <c r="B597" s="5"/>
      <c r="C597" s="5"/>
      <c r="D597" s="5"/>
      <c r="E597" s="5"/>
      <c r="F597" s="5"/>
      <c r="G597" s="5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5"/>
      <c r="B598" s="5"/>
      <c r="C598" s="5"/>
      <c r="D598" s="5"/>
      <c r="E598" s="5"/>
      <c r="F598" s="5"/>
      <c r="G598" s="5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5"/>
      <c r="B599" s="5"/>
      <c r="C599" s="5"/>
      <c r="D599" s="5"/>
      <c r="E599" s="5"/>
      <c r="F599" s="5"/>
      <c r="G599" s="5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5"/>
      <c r="B600" s="5"/>
      <c r="C600" s="5"/>
      <c r="D600" s="5"/>
      <c r="E600" s="5"/>
      <c r="F600" s="5"/>
      <c r="G600" s="5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5"/>
      <c r="B601" s="5"/>
      <c r="C601" s="5"/>
      <c r="D601" s="5"/>
      <c r="E601" s="5"/>
      <c r="F601" s="5"/>
      <c r="G601" s="5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5"/>
      <c r="B602" s="5"/>
      <c r="C602" s="5"/>
      <c r="D602" s="5"/>
      <c r="E602" s="5"/>
      <c r="F602" s="5"/>
      <c r="G602" s="5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5"/>
      <c r="B603" s="5"/>
      <c r="C603" s="5"/>
      <c r="D603" s="5"/>
      <c r="E603" s="5"/>
      <c r="F603" s="5"/>
      <c r="G603" s="5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5"/>
      <c r="B604" s="5"/>
      <c r="C604" s="5"/>
      <c r="D604" s="5"/>
      <c r="E604" s="5"/>
      <c r="F604" s="5"/>
      <c r="G604" s="5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5"/>
      <c r="B605" s="5"/>
      <c r="C605" s="5"/>
      <c r="D605" s="5"/>
      <c r="E605" s="5"/>
      <c r="F605" s="5"/>
      <c r="G605" s="5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5"/>
      <c r="B606" s="5"/>
      <c r="C606" s="5"/>
      <c r="D606" s="5"/>
      <c r="E606" s="5"/>
      <c r="F606" s="5"/>
      <c r="G606" s="5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5"/>
      <c r="B607" s="5"/>
      <c r="C607" s="5"/>
      <c r="D607" s="5"/>
      <c r="E607" s="5"/>
      <c r="F607" s="5"/>
      <c r="G607" s="5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5"/>
      <c r="B608" s="5"/>
      <c r="C608" s="5"/>
      <c r="D608" s="5"/>
      <c r="E608" s="5"/>
      <c r="F608" s="5"/>
      <c r="G608" s="5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5"/>
      <c r="B609" s="5"/>
      <c r="C609" s="5"/>
      <c r="D609" s="5"/>
      <c r="E609" s="5"/>
      <c r="F609" s="5"/>
      <c r="G609" s="5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5"/>
      <c r="B610" s="5"/>
      <c r="C610" s="5"/>
      <c r="D610" s="5"/>
      <c r="E610" s="5"/>
      <c r="F610" s="5"/>
      <c r="G610" s="5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5"/>
      <c r="B611" s="5"/>
      <c r="C611" s="5"/>
      <c r="D611" s="5"/>
      <c r="E611" s="5"/>
      <c r="F611" s="5"/>
      <c r="G611" s="5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5"/>
      <c r="B612" s="5"/>
      <c r="C612" s="5"/>
      <c r="D612" s="5"/>
      <c r="E612" s="5"/>
      <c r="F612" s="5"/>
      <c r="G612" s="5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5"/>
      <c r="B613" s="5"/>
      <c r="C613" s="5"/>
      <c r="D613" s="5"/>
      <c r="E613" s="5"/>
      <c r="F613" s="5"/>
      <c r="G613" s="5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5"/>
      <c r="B614" s="5"/>
      <c r="C614" s="5"/>
      <c r="D614" s="5"/>
      <c r="E614" s="5"/>
      <c r="F614" s="5"/>
      <c r="G614" s="5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5"/>
      <c r="B615" s="5"/>
      <c r="C615" s="5"/>
      <c r="D615" s="5"/>
      <c r="E615" s="5"/>
      <c r="F615" s="5"/>
      <c r="G615" s="5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5"/>
      <c r="B616" s="5"/>
      <c r="C616" s="5"/>
      <c r="D616" s="5"/>
      <c r="E616" s="5"/>
      <c r="F616" s="5"/>
      <c r="G616" s="5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5"/>
      <c r="B617" s="5"/>
      <c r="C617" s="5"/>
      <c r="D617" s="5"/>
      <c r="E617" s="5"/>
      <c r="F617" s="5"/>
      <c r="G617" s="5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5"/>
      <c r="B618" s="5"/>
      <c r="C618" s="5"/>
      <c r="D618" s="5"/>
      <c r="E618" s="5"/>
      <c r="F618" s="5"/>
      <c r="G618" s="5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5"/>
      <c r="B619" s="5"/>
      <c r="C619" s="5"/>
      <c r="D619" s="5"/>
      <c r="E619" s="5"/>
      <c r="F619" s="5"/>
      <c r="G619" s="5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5"/>
      <c r="B620" s="5"/>
      <c r="C620" s="5"/>
      <c r="D620" s="5"/>
      <c r="E620" s="5"/>
      <c r="F620" s="5"/>
      <c r="G620" s="5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5"/>
      <c r="B621" s="5"/>
      <c r="C621" s="5"/>
      <c r="D621" s="5"/>
      <c r="E621" s="5"/>
      <c r="F621" s="5"/>
      <c r="G621" s="5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5"/>
      <c r="B622" s="5"/>
      <c r="C622" s="5"/>
      <c r="D622" s="5"/>
      <c r="E622" s="5"/>
      <c r="F622" s="5"/>
      <c r="G622" s="5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5"/>
      <c r="B623" s="5"/>
      <c r="C623" s="5"/>
      <c r="D623" s="5"/>
      <c r="E623" s="5"/>
      <c r="F623" s="5"/>
      <c r="G623" s="5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5"/>
      <c r="B624" s="5"/>
      <c r="C624" s="5"/>
      <c r="D624" s="5"/>
      <c r="E624" s="5"/>
      <c r="F624" s="5"/>
      <c r="G624" s="5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5"/>
      <c r="B625" s="5"/>
      <c r="C625" s="5"/>
      <c r="D625" s="5"/>
      <c r="E625" s="5"/>
      <c r="F625" s="5"/>
      <c r="G625" s="5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5"/>
      <c r="B626" s="5"/>
      <c r="C626" s="5"/>
      <c r="D626" s="5"/>
      <c r="E626" s="5"/>
      <c r="F626" s="5"/>
      <c r="G626" s="5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5"/>
      <c r="B627" s="5"/>
      <c r="C627" s="5"/>
      <c r="D627" s="5"/>
      <c r="E627" s="5"/>
      <c r="F627" s="5"/>
      <c r="G627" s="5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5"/>
      <c r="B628" s="5"/>
      <c r="C628" s="5"/>
      <c r="D628" s="5"/>
      <c r="E628" s="5"/>
      <c r="F628" s="5"/>
      <c r="G628" s="5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5"/>
      <c r="B629" s="5"/>
      <c r="C629" s="5"/>
      <c r="D629" s="5"/>
      <c r="E629" s="5"/>
      <c r="F629" s="5"/>
      <c r="G629" s="5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5"/>
      <c r="B630" s="5"/>
      <c r="C630" s="5"/>
      <c r="D630" s="5"/>
      <c r="E630" s="5"/>
      <c r="F630" s="5"/>
      <c r="G630" s="5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5"/>
      <c r="B631" s="5"/>
      <c r="C631" s="5"/>
      <c r="D631" s="5"/>
      <c r="E631" s="5"/>
      <c r="F631" s="5"/>
      <c r="G631" s="5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5"/>
      <c r="B632" s="5"/>
      <c r="C632" s="5"/>
      <c r="D632" s="5"/>
      <c r="E632" s="5"/>
      <c r="F632" s="5"/>
      <c r="G632" s="5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5"/>
      <c r="B633" s="5"/>
      <c r="C633" s="5"/>
      <c r="D633" s="5"/>
      <c r="E633" s="5"/>
      <c r="F633" s="5"/>
      <c r="G633" s="5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5"/>
      <c r="B634" s="5"/>
      <c r="C634" s="5"/>
      <c r="D634" s="5"/>
      <c r="E634" s="5"/>
      <c r="F634" s="5"/>
      <c r="G634" s="5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5"/>
      <c r="B635" s="5"/>
      <c r="C635" s="5"/>
      <c r="D635" s="5"/>
      <c r="E635" s="5"/>
      <c r="F635" s="5"/>
      <c r="G635" s="5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5"/>
      <c r="B636" s="5"/>
      <c r="C636" s="5"/>
      <c r="D636" s="5"/>
      <c r="E636" s="5"/>
      <c r="F636" s="5"/>
      <c r="G636" s="5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5"/>
      <c r="B637" s="5"/>
      <c r="C637" s="5"/>
      <c r="D637" s="5"/>
      <c r="E637" s="5"/>
      <c r="F637" s="5"/>
      <c r="G637" s="5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5"/>
      <c r="B638" s="5"/>
      <c r="C638" s="5"/>
      <c r="D638" s="5"/>
      <c r="E638" s="5"/>
      <c r="F638" s="5"/>
      <c r="G638" s="5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5"/>
      <c r="B639" s="5"/>
      <c r="C639" s="5"/>
      <c r="D639" s="5"/>
      <c r="E639" s="5"/>
      <c r="F639" s="5"/>
      <c r="G639" s="5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5"/>
      <c r="B640" s="5"/>
      <c r="C640" s="5"/>
      <c r="D640" s="5"/>
      <c r="E640" s="5"/>
      <c r="F640" s="5"/>
      <c r="G640" s="5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5"/>
      <c r="B641" s="5"/>
      <c r="C641" s="5"/>
      <c r="D641" s="5"/>
      <c r="E641" s="5"/>
      <c r="F641" s="5"/>
      <c r="G641" s="5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5"/>
      <c r="B642" s="5"/>
      <c r="C642" s="5"/>
      <c r="D642" s="5"/>
      <c r="E642" s="5"/>
      <c r="F642" s="5"/>
      <c r="G642" s="5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5"/>
      <c r="B643" s="5"/>
      <c r="C643" s="5"/>
      <c r="D643" s="5"/>
      <c r="E643" s="5"/>
      <c r="F643" s="5"/>
      <c r="G643" s="5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5"/>
      <c r="B644" s="5"/>
      <c r="C644" s="5"/>
      <c r="D644" s="5"/>
      <c r="E644" s="5"/>
      <c r="F644" s="5"/>
      <c r="G644" s="5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5"/>
      <c r="B645" s="5"/>
      <c r="C645" s="5"/>
      <c r="D645" s="5"/>
      <c r="E645" s="5"/>
      <c r="F645" s="5"/>
      <c r="G645" s="5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5"/>
      <c r="B646" s="5"/>
      <c r="C646" s="5"/>
      <c r="D646" s="5"/>
      <c r="E646" s="5"/>
      <c r="F646" s="5"/>
      <c r="G646" s="5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5"/>
      <c r="B647" s="5"/>
      <c r="C647" s="5"/>
      <c r="D647" s="5"/>
      <c r="E647" s="5"/>
      <c r="F647" s="5"/>
      <c r="G647" s="5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5"/>
      <c r="B648" s="5"/>
      <c r="C648" s="5"/>
      <c r="D648" s="5"/>
      <c r="E648" s="5"/>
      <c r="F648" s="5"/>
      <c r="G648" s="5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5"/>
      <c r="B649" s="5"/>
      <c r="C649" s="5"/>
      <c r="D649" s="5"/>
      <c r="E649" s="5"/>
      <c r="F649" s="5"/>
      <c r="G649" s="5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5"/>
      <c r="B650" s="5"/>
      <c r="C650" s="5"/>
      <c r="D650" s="5"/>
      <c r="E650" s="5"/>
      <c r="F650" s="5"/>
      <c r="G650" s="5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5"/>
      <c r="B651" s="5"/>
      <c r="C651" s="5"/>
      <c r="D651" s="5"/>
      <c r="E651" s="5"/>
      <c r="F651" s="5"/>
      <c r="G651" s="5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5"/>
      <c r="B652" s="5"/>
      <c r="C652" s="5"/>
      <c r="D652" s="5"/>
      <c r="E652" s="5"/>
      <c r="F652" s="5"/>
      <c r="G652" s="5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5"/>
      <c r="B653" s="5"/>
      <c r="C653" s="5"/>
      <c r="D653" s="5"/>
      <c r="E653" s="5"/>
      <c r="F653" s="5"/>
      <c r="G653" s="5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5"/>
      <c r="B654" s="5"/>
      <c r="C654" s="5"/>
      <c r="D654" s="5"/>
      <c r="E654" s="5"/>
      <c r="F654" s="5"/>
      <c r="G654" s="5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5"/>
      <c r="B655" s="5"/>
      <c r="C655" s="5"/>
      <c r="D655" s="5"/>
      <c r="E655" s="5"/>
      <c r="F655" s="5"/>
      <c r="G655" s="5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5"/>
      <c r="B656" s="5"/>
      <c r="C656" s="5"/>
      <c r="D656" s="5"/>
      <c r="E656" s="5"/>
      <c r="F656" s="5"/>
      <c r="G656" s="5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5"/>
      <c r="B657" s="5"/>
      <c r="C657" s="5"/>
      <c r="D657" s="5"/>
      <c r="E657" s="5"/>
      <c r="F657" s="5"/>
      <c r="G657" s="5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5"/>
      <c r="B658" s="5"/>
      <c r="C658" s="5"/>
      <c r="D658" s="5"/>
      <c r="E658" s="5"/>
      <c r="F658" s="5"/>
      <c r="G658" s="5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5"/>
      <c r="B659" s="5"/>
      <c r="C659" s="5"/>
      <c r="D659" s="5"/>
      <c r="E659" s="5"/>
      <c r="F659" s="5"/>
      <c r="G659" s="5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5"/>
      <c r="B660" s="5"/>
      <c r="C660" s="5"/>
      <c r="D660" s="5"/>
      <c r="E660" s="5"/>
      <c r="F660" s="5"/>
      <c r="G660" s="5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5"/>
      <c r="B661" s="5"/>
      <c r="C661" s="5"/>
      <c r="D661" s="5"/>
      <c r="E661" s="5"/>
      <c r="F661" s="5"/>
      <c r="G661" s="5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5"/>
      <c r="B662" s="5"/>
      <c r="C662" s="5"/>
      <c r="D662" s="5"/>
      <c r="E662" s="5"/>
      <c r="F662" s="5"/>
      <c r="G662" s="5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5"/>
      <c r="B663" s="5"/>
      <c r="C663" s="5"/>
      <c r="D663" s="5"/>
      <c r="E663" s="5"/>
      <c r="F663" s="5"/>
      <c r="G663" s="5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5"/>
      <c r="B664" s="5"/>
      <c r="C664" s="5"/>
      <c r="D664" s="5"/>
      <c r="E664" s="5"/>
      <c r="F664" s="5"/>
      <c r="G664" s="5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5"/>
      <c r="B665" s="5"/>
      <c r="C665" s="5"/>
      <c r="D665" s="5"/>
      <c r="E665" s="5"/>
      <c r="F665" s="5"/>
      <c r="G665" s="5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5"/>
      <c r="B666" s="5"/>
      <c r="C666" s="5"/>
      <c r="D666" s="5"/>
      <c r="E666" s="5"/>
      <c r="F666" s="5"/>
      <c r="G666" s="5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5"/>
      <c r="B667" s="5"/>
      <c r="C667" s="5"/>
      <c r="D667" s="5"/>
      <c r="E667" s="5"/>
      <c r="F667" s="5"/>
      <c r="G667" s="5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5"/>
      <c r="B668" s="5"/>
      <c r="C668" s="5"/>
      <c r="D668" s="5"/>
      <c r="E668" s="5"/>
      <c r="F668" s="5"/>
      <c r="G668" s="5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5"/>
      <c r="B669" s="5"/>
      <c r="C669" s="5"/>
      <c r="D669" s="5"/>
      <c r="E669" s="5"/>
      <c r="F669" s="5"/>
      <c r="G669" s="5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5"/>
      <c r="B670" s="5"/>
      <c r="C670" s="5"/>
      <c r="D670" s="5"/>
      <c r="E670" s="5"/>
      <c r="F670" s="5"/>
      <c r="G670" s="5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5"/>
      <c r="B671" s="5"/>
      <c r="C671" s="5"/>
      <c r="D671" s="5"/>
      <c r="E671" s="5"/>
      <c r="F671" s="5"/>
      <c r="G671" s="5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5"/>
      <c r="B672" s="5"/>
      <c r="C672" s="5"/>
      <c r="D672" s="5"/>
      <c r="E672" s="5"/>
      <c r="F672" s="5"/>
      <c r="G672" s="5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5"/>
      <c r="B673" s="5"/>
      <c r="C673" s="5"/>
      <c r="D673" s="5"/>
      <c r="E673" s="5"/>
      <c r="F673" s="5"/>
      <c r="G673" s="5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5"/>
      <c r="B674" s="5"/>
      <c r="C674" s="5"/>
      <c r="D674" s="5"/>
      <c r="E674" s="5"/>
      <c r="F674" s="5"/>
      <c r="G674" s="5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5"/>
      <c r="B675" s="5"/>
      <c r="C675" s="5"/>
      <c r="D675" s="5"/>
      <c r="E675" s="5"/>
      <c r="F675" s="5"/>
      <c r="G675" s="5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5"/>
      <c r="B676" s="5"/>
      <c r="C676" s="5"/>
      <c r="D676" s="5"/>
      <c r="E676" s="5"/>
      <c r="F676" s="5"/>
      <c r="G676" s="5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5"/>
      <c r="B677" s="5"/>
      <c r="C677" s="5"/>
      <c r="D677" s="5"/>
      <c r="E677" s="5"/>
      <c r="F677" s="5"/>
      <c r="G677" s="5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5"/>
      <c r="B678" s="5"/>
      <c r="C678" s="5"/>
      <c r="D678" s="5"/>
      <c r="E678" s="5"/>
      <c r="F678" s="5"/>
      <c r="G678" s="5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5"/>
      <c r="B679" s="5"/>
      <c r="C679" s="5"/>
      <c r="D679" s="5"/>
      <c r="E679" s="5"/>
      <c r="F679" s="5"/>
      <c r="G679" s="5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5"/>
      <c r="B680" s="5"/>
      <c r="C680" s="5"/>
      <c r="D680" s="5"/>
      <c r="E680" s="5"/>
      <c r="F680" s="5"/>
      <c r="G680" s="5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5"/>
      <c r="B681" s="5"/>
      <c r="C681" s="5"/>
      <c r="D681" s="5"/>
      <c r="E681" s="5"/>
      <c r="F681" s="5"/>
      <c r="G681" s="5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5"/>
      <c r="B682" s="5"/>
      <c r="C682" s="5"/>
      <c r="D682" s="5"/>
      <c r="E682" s="5"/>
      <c r="F682" s="5"/>
      <c r="G682" s="5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5"/>
      <c r="B683" s="5"/>
      <c r="C683" s="5"/>
      <c r="D683" s="5"/>
      <c r="E683" s="5"/>
      <c r="F683" s="5"/>
      <c r="G683" s="5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5"/>
      <c r="B684" s="5"/>
      <c r="C684" s="5"/>
      <c r="D684" s="5"/>
      <c r="E684" s="5"/>
      <c r="F684" s="5"/>
      <c r="G684" s="5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5"/>
      <c r="B685" s="5"/>
      <c r="C685" s="5"/>
      <c r="D685" s="5"/>
      <c r="E685" s="5"/>
      <c r="F685" s="5"/>
      <c r="G685" s="5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5"/>
      <c r="B686" s="5"/>
      <c r="C686" s="5"/>
      <c r="D686" s="5"/>
      <c r="E686" s="5"/>
      <c r="F686" s="5"/>
      <c r="G686" s="5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5"/>
      <c r="B687" s="5"/>
      <c r="C687" s="5"/>
      <c r="D687" s="5"/>
      <c r="E687" s="5"/>
      <c r="F687" s="5"/>
      <c r="G687" s="5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5"/>
      <c r="B688" s="5"/>
      <c r="C688" s="5"/>
      <c r="D688" s="5"/>
      <c r="E688" s="5"/>
      <c r="F688" s="5"/>
      <c r="G688" s="5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5"/>
      <c r="B689" s="5"/>
      <c r="C689" s="5"/>
      <c r="D689" s="5"/>
      <c r="E689" s="5"/>
      <c r="F689" s="5"/>
      <c r="G689" s="5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5"/>
      <c r="B690" s="5"/>
      <c r="C690" s="5"/>
      <c r="D690" s="5"/>
      <c r="E690" s="5"/>
      <c r="F690" s="5"/>
      <c r="G690" s="5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5"/>
      <c r="B691" s="5"/>
      <c r="C691" s="5"/>
      <c r="D691" s="5"/>
      <c r="E691" s="5"/>
      <c r="F691" s="5"/>
      <c r="G691" s="5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5"/>
      <c r="B692" s="5"/>
      <c r="C692" s="5"/>
      <c r="D692" s="5"/>
      <c r="E692" s="5"/>
      <c r="F692" s="5"/>
      <c r="G692" s="5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5"/>
      <c r="B693" s="5"/>
      <c r="C693" s="5"/>
      <c r="D693" s="5"/>
      <c r="E693" s="5"/>
      <c r="F693" s="5"/>
      <c r="G693" s="5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5"/>
      <c r="B694" s="5"/>
      <c r="C694" s="5"/>
      <c r="D694" s="5"/>
      <c r="E694" s="5"/>
      <c r="F694" s="5"/>
      <c r="G694" s="5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5"/>
      <c r="B695" s="5"/>
      <c r="C695" s="5"/>
      <c r="D695" s="5"/>
      <c r="E695" s="5"/>
      <c r="F695" s="5"/>
      <c r="G695" s="5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5"/>
      <c r="B696" s="5"/>
      <c r="C696" s="5"/>
      <c r="D696" s="5"/>
      <c r="E696" s="5"/>
      <c r="F696" s="5"/>
      <c r="G696" s="5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5"/>
      <c r="B697" s="5"/>
      <c r="C697" s="5"/>
      <c r="D697" s="5"/>
      <c r="E697" s="5"/>
      <c r="F697" s="5"/>
      <c r="G697" s="5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5"/>
      <c r="B698" s="5"/>
      <c r="C698" s="5"/>
      <c r="D698" s="5"/>
      <c r="E698" s="5"/>
      <c r="F698" s="5"/>
      <c r="G698" s="5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5"/>
      <c r="B699" s="5"/>
      <c r="C699" s="5"/>
      <c r="D699" s="5"/>
      <c r="E699" s="5"/>
      <c r="F699" s="5"/>
      <c r="G699" s="5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5"/>
      <c r="B700" s="5"/>
      <c r="C700" s="5"/>
      <c r="D700" s="5"/>
      <c r="E700" s="5"/>
      <c r="F700" s="5"/>
      <c r="G700" s="5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5"/>
      <c r="B701" s="5"/>
      <c r="C701" s="5"/>
      <c r="D701" s="5"/>
      <c r="E701" s="5"/>
      <c r="F701" s="5"/>
      <c r="G701" s="5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5"/>
      <c r="B702" s="5"/>
      <c r="C702" s="5"/>
      <c r="D702" s="5"/>
      <c r="E702" s="5"/>
      <c r="F702" s="5"/>
      <c r="G702" s="5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5"/>
      <c r="B703" s="5"/>
      <c r="C703" s="5"/>
      <c r="D703" s="5"/>
      <c r="E703" s="5"/>
      <c r="F703" s="5"/>
      <c r="G703" s="5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5"/>
      <c r="B704" s="5"/>
      <c r="C704" s="5"/>
      <c r="D704" s="5"/>
      <c r="E704" s="5"/>
      <c r="F704" s="5"/>
      <c r="G704" s="5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5"/>
      <c r="B705" s="5"/>
      <c r="C705" s="5"/>
      <c r="D705" s="5"/>
      <c r="E705" s="5"/>
      <c r="F705" s="5"/>
      <c r="G705" s="5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5"/>
      <c r="B706" s="5"/>
      <c r="C706" s="5"/>
      <c r="D706" s="5"/>
      <c r="E706" s="5"/>
      <c r="F706" s="5"/>
      <c r="G706" s="5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5"/>
      <c r="B707" s="5"/>
      <c r="C707" s="5"/>
      <c r="D707" s="5"/>
      <c r="E707" s="5"/>
      <c r="F707" s="5"/>
      <c r="G707" s="5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5"/>
      <c r="B708" s="5"/>
      <c r="C708" s="5"/>
      <c r="D708" s="5"/>
      <c r="E708" s="5"/>
      <c r="F708" s="5"/>
      <c r="G708" s="5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5"/>
      <c r="B709" s="5"/>
      <c r="C709" s="5"/>
      <c r="D709" s="5"/>
      <c r="E709" s="5"/>
      <c r="F709" s="5"/>
      <c r="G709" s="5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5"/>
      <c r="B710" s="5"/>
      <c r="C710" s="5"/>
      <c r="D710" s="5"/>
      <c r="E710" s="5"/>
      <c r="F710" s="5"/>
      <c r="G710" s="5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5"/>
      <c r="B711" s="5"/>
      <c r="C711" s="5"/>
      <c r="D711" s="5"/>
      <c r="E711" s="5"/>
      <c r="F711" s="5"/>
      <c r="G711" s="5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5"/>
      <c r="B712" s="5"/>
      <c r="C712" s="5"/>
      <c r="D712" s="5"/>
      <c r="E712" s="5"/>
      <c r="F712" s="5"/>
      <c r="G712" s="5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5"/>
      <c r="B713" s="5"/>
      <c r="C713" s="5"/>
      <c r="D713" s="5"/>
      <c r="E713" s="5"/>
      <c r="F713" s="5"/>
      <c r="G713" s="5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5"/>
      <c r="B714" s="5"/>
      <c r="C714" s="5"/>
      <c r="D714" s="5"/>
      <c r="E714" s="5"/>
      <c r="F714" s="5"/>
      <c r="G714" s="5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5"/>
      <c r="B715" s="5"/>
      <c r="C715" s="5"/>
      <c r="D715" s="5"/>
      <c r="E715" s="5"/>
      <c r="F715" s="5"/>
      <c r="G715" s="5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5"/>
      <c r="B716" s="5"/>
      <c r="C716" s="5"/>
      <c r="D716" s="5"/>
      <c r="E716" s="5"/>
      <c r="F716" s="5"/>
      <c r="G716" s="5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5"/>
      <c r="B717" s="5"/>
      <c r="C717" s="5"/>
      <c r="D717" s="5"/>
      <c r="E717" s="5"/>
      <c r="F717" s="5"/>
      <c r="G717" s="5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5"/>
      <c r="B718" s="5"/>
      <c r="C718" s="5"/>
      <c r="D718" s="5"/>
      <c r="E718" s="5"/>
      <c r="F718" s="5"/>
      <c r="G718" s="5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5"/>
      <c r="B719" s="5"/>
      <c r="C719" s="5"/>
      <c r="D719" s="5"/>
      <c r="E719" s="5"/>
      <c r="F719" s="5"/>
      <c r="G719" s="5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5"/>
      <c r="B720" s="5"/>
      <c r="C720" s="5"/>
      <c r="D720" s="5"/>
      <c r="E720" s="5"/>
      <c r="F720" s="5"/>
      <c r="G720" s="5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5"/>
      <c r="B721" s="5"/>
      <c r="C721" s="5"/>
      <c r="D721" s="5"/>
      <c r="E721" s="5"/>
      <c r="F721" s="5"/>
      <c r="G721" s="5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5"/>
      <c r="B722" s="5"/>
      <c r="C722" s="5"/>
      <c r="D722" s="5"/>
      <c r="E722" s="5"/>
      <c r="F722" s="5"/>
      <c r="G722" s="5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5"/>
      <c r="B723" s="5"/>
      <c r="C723" s="5"/>
      <c r="D723" s="5"/>
      <c r="E723" s="5"/>
      <c r="F723" s="5"/>
      <c r="G723" s="5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5"/>
      <c r="B724" s="5"/>
      <c r="C724" s="5"/>
      <c r="D724" s="5"/>
      <c r="E724" s="5"/>
      <c r="F724" s="5"/>
      <c r="G724" s="5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5"/>
      <c r="B725" s="5"/>
      <c r="C725" s="5"/>
      <c r="D725" s="5"/>
      <c r="E725" s="5"/>
      <c r="F725" s="5"/>
      <c r="G725" s="5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5"/>
      <c r="B726" s="5"/>
      <c r="C726" s="5"/>
      <c r="D726" s="5"/>
      <c r="E726" s="5"/>
      <c r="F726" s="5"/>
      <c r="G726" s="5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5"/>
      <c r="B727" s="5"/>
      <c r="C727" s="5"/>
      <c r="D727" s="5"/>
      <c r="E727" s="5"/>
      <c r="F727" s="5"/>
      <c r="G727" s="5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5"/>
      <c r="B728" s="5"/>
      <c r="C728" s="5"/>
      <c r="D728" s="5"/>
      <c r="E728" s="5"/>
      <c r="F728" s="5"/>
      <c r="G728" s="5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5"/>
      <c r="B729" s="5"/>
      <c r="C729" s="5"/>
      <c r="D729" s="5"/>
      <c r="E729" s="5"/>
      <c r="F729" s="5"/>
      <c r="G729" s="5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5"/>
      <c r="B730" s="5"/>
      <c r="C730" s="5"/>
      <c r="D730" s="5"/>
      <c r="E730" s="5"/>
      <c r="F730" s="5"/>
      <c r="G730" s="5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5"/>
      <c r="B731" s="5"/>
      <c r="C731" s="5"/>
      <c r="D731" s="5"/>
      <c r="E731" s="5"/>
      <c r="F731" s="5"/>
      <c r="G731" s="5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5"/>
      <c r="B732" s="5"/>
      <c r="C732" s="5"/>
      <c r="D732" s="5"/>
      <c r="E732" s="5"/>
      <c r="F732" s="5"/>
      <c r="G732" s="5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5"/>
      <c r="B733" s="5"/>
      <c r="C733" s="5"/>
      <c r="D733" s="5"/>
      <c r="E733" s="5"/>
      <c r="F733" s="5"/>
      <c r="G733" s="5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5"/>
      <c r="B734" s="5"/>
      <c r="C734" s="5"/>
      <c r="D734" s="5"/>
      <c r="E734" s="5"/>
      <c r="F734" s="5"/>
      <c r="G734" s="5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5"/>
      <c r="B735" s="5"/>
      <c r="C735" s="5"/>
      <c r="D735" s="5"/>
      <c r="E735" s="5"/>
      <c r="F735" s="5"/>
      <c r="G735" s="5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5"/>
      <c r="B736" s="5"/>
      <c r="C736" s="5"/>
      <c r="D736" s="5"/>
      <c r="E736" s="5"/>
      <c r="F736" s="5"/>
      <c r="G736" s="5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5"/>
      <c r="B737" s="5"/>
      <c r="C737" s="5"/>
      <c r="D737" s="5"/>
      <c r="E737" s="5"/>
      <c r="F737" s="5"/>
      <c r="G737" s="5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5"/>
      <c r="B738" s="5"/>
      <c r="C738" s="5"/>
      <c r="D738" s="5"/>
      <c r="E738" s="5"/>
      <c r="F738" s="5"/>
      <c r="G738" s="5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5"/>
      <c r="B739" s="5"/>
      <c r="C739" s="5"/>
      <c r="D739" s="5"/>
      <c r="E739" s="5"/>
      <c r="F739" s="5"/>
      <c r="G739" s="5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5"/>
      <c r="B740" s="5"/>
      <c r="C740" s="5"/>
      <c r="D740" s="5"/>
      <c r="E740" s="5"/>
      <c r="F740" s="5"/>
      <c r="G740" s="5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5"/>
      <c r="B741" s="5"/>
      <c r="C741" s="5"/>
      <c r="D741" s="5"/>
      <c r="E741" s="5"/>
      <c r="F741" s="5"/>
      <c r="G741" s="5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5"/>
      <c r="B742" s="5"/>
      <c r="C742" s="5"/>
      <c r="D742" s="5"/>
      <c r="E742" s="5"/>
      <c r="F742" s="5"/>
      <c r="G742" s="5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5"/>
      <c r="B743" s="5"/>
      <c r="C743" s="5"/>
      <c r="D743" s="5"/>
      <c r="E743" s="5"/>
      <c r="F743" s="5"/>
      <c r="G743" s="5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5"/>
      <c r="B744" s="5"/>
      <c r="C744" s="5"/>
      <c r="D744" s="5"/>
      <c r="E744" s="5"/>
      <c r="F744" s="5"/>
      <c r="G744" s="5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5"/>
      <c r="B745" s="5"/>
      <c r="C745" s="5"/>
      <c r="D745" s="5"/>
      <c r="E745" s="5"/>
      <c r="F745" s="5"/>
      <c r="G745" s="5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5"/>
      <c r="B746" s="5"/>
      <c r="C746" s="5"/>
      <c r="D746" s="5"/>
      <c r="E746" s="5"/>
      <c r="F746" s="5"/>
      <c r="G746" s="5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5"/>
      <c r="B747" s="5"/>
      <c r="C747" s="5"/>
      <c r="D747" s="5"/>
      <c r="E747" s="5"/>
      <c r="F747" s="5"/>
      <c r="G747" s="5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5"/>
      <c r="B748" s="5"/>
      <c r="C748" s="5"/>
      <c r="D748" s="5"/>
      <c r="E748" s="5"/>
      <c r="F748" s="5"/>
      <c r="G748" s="5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5"/>
      <c r="B749" s="5"/>
      <c r="C749" s="5"/>
      <c r="D749" s="5"/>
      <c r="E749" s="5"/>
      <c r="F749" s="5"/>
      <c r="G749" s="5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5"/>
      <c r="B750" s="5"/>
      <c r="C750" s="5"/>
      <c r="D750" s="5"/>
      <c r="E750" s="5"/>
      <c r="F750" s="5"/>
      <c r="G750" s="5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5"/>
      <c r="B751" s="5"/>
      <c r="C751" s="5"/>
      <c r="D751" s="5"/>
      <c r="E751" s="5"/>
      <c r="F751" s="5"/>
      <c r="G751" s="5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5"/>
      <c r="B752" s="5"/>
      <c r="C752" s="5"/>
      <c r="D752" s="5"/>
      <c r="E752" s="5"/>
      <c r="F752" s="5"/>
      <c r="G752" s="5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5"/>
      <c r="B753" s="5"/>
      <c r="C753" s="5"/>
      <c r="D753" s="5"/>
      <c r="E753" s="5"/>
      <c r="F753" s="5"/>
      <c r="G753" s="5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5"/>
      <c r="B754" s="5"/>
      <c r="C754" s="5"/>
      <c r="D754" s="5"/>
      <c r="E754" s="5"/>
      <c r="F754" s="5"/>
      <c r="G754" s="5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5"/>
      <c r="B755" s="5"/>
      <c r="C755" s="5"/>
      <c r="D755" s="5"/>
      <c r="E755" s="5"/>
      <c r="F755" s="5"/>
      <c r="G755" s="5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5"/>
      <c r="B756" s="5"/>
      <c r="C756" s="5"/>
      <c r="D756" s="5"/>
      <c r="E756" s="5"/>
      <c r="F756" s="5"/>
      <c r="G756" s="5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5"/>
      <c r="B757" s="5"/>
      <c r="C757" s="5"/>
      <c r="D757" s="5"/>
      <c r="E757" s="5"/>
      <c r="F757" s="5"/>
      <c r="G757" s="5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5"/>
      <c r="B758" s="5"/>
      <c r="C758" s="5"/>
      <c r="D758" s="5"/>
      <c r="E758" s="5"/>
      <c r="F758" s="5"/>
      <c r="G758" s="5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5"/>
      <c r="B759" s="5"/>
      <c r="C759" s="5"/>
      <c r="D759" s="5"/>
      <c r="E759" s="5"/>
      <c r="F759" s="5"/>
      <c r="G759" s="5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5"/>
      <c r="B760" s="5"/>
      <c r="C760" s="5"/>
      <c r="D760" s="5"/>
      <c r="E760" s="5"/>
      <c r="F760" s="5"/>
      <c r="G760" s="5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5"/>
      <c r="B761" s="5"/>
      <c r="C761" s="5"/>
      <c r="D761" s="5"/>
      <c r="E761" s="5"/>
      <c r="F761" s="5"/>
      <c r="G761" s="5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5"/>
      <c r="B762" s="5"/>
      <c r="C762" s="5"/>
      <c r="D762" s="5"/>
      <c r="E762" s="5"/>
      <c r="F762" s="5"/>
      <c r="G762" s="5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5"/>
      <c r="B763" s="5"/>
      <c r="C763" s="5"/>
      <c r="D763" s="5"/>
      <c r="E763" s="5"/>
      <c r="F763" s="5"/>
      <c r="G763" s="5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5"/>
      <c r="B764" s="5"/>
      <c r="C764" s="5"/>
      <c r="D764" s="5"/>
      <c r="E764" s="5"/>
      <c r="F764" s="5"/>
      <c r="G764" s="5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5"/>
      <c r="B765" s="5"/>
      <c r="C765" s="5"/>
      <c r="D765" s="5"/>
      <c r="E765" s="5"/>
      <c r="F765" s="5"/>
      <c r="G765" s="5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5"/>
      <c r="B766" s="5"/>
      <c r="C766" s="5"/>
      <c r="D766" s="5"/>
      <c r="E766" s="5"/>
      <c r="F766" s="5"/>
      <c r="G766" s="5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5"/>
      <c r="B767" s="5"/>
      <c r="C767" s="5"/>
      <c r="D767" s="5"/>
      <c r="E767" s="5"/>
      <c r="F767" s="5"/>
      <c r="G767" s="5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5"/>
      <c r="B768" s="5"/>
      <c r="C768" s="5"/>
      <c r="D768" s="5"/>
      <c r="E768" s="5"/>
      <c r="F768" s="5"/>
      <c r="G768" s="5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5"/>
      <c r="B769" s="5"/>
      <c r="C769" s="5"/>
      <c r="D769" s="5"/>
      <c r="E769" s="5"/>
      <c r="F769" s="5"/>
      <c r="G769" s="5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5"/>
      <c r="B770" s="5"/>
      <c r="C770" s="5"/>
      <c r="D770" s="5"/>
      <c r="E770" s="5"/>
      <c r="F770" s="5"/>
      <c r="G770" s="5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5"/>
      <c r="B771" s="5"/>
      <c r="C771" s="5"/>
      <c r="D771" s="5"/>
      <c r="E771" s="5"/>
      <c r="F771" s="5"/>
      <c r="G771" s="5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5"/>
      <c r="B772" s="5"/>
      <c r="C772" s="5"/>
      <c r="D772" s="5"/>
      <c r="E772" s="5"/>
      <c r="F772" s="5"/>
      <c r="G772" s="5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5"/>
      <c r="B773" s="5"/>
      <c r="C773" s="5"/>
      <c r="D773" s="5"/>
      <c r="E773" s="5"/>
      <c r="F773" s="5"/>
      <c r="G773" s="5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5"/>
      <c r="B774" s="5"/>
      <c r="C774" s="5"/>
      <c r="D774" s="5"/>
      <c r="E774" s="5"/>
      <c r="F774" s="5"/>
      <c r="G774" s="5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5"/>
      <c r="B775" s="5"/>
      <c r="C775" s="5"/>
      <c r="D775" s="5"/>
      <c r="E775" s="5"/>
      <c r="F775" s="5"/>
      <c r="G775" s="5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5"/>
      <c r="B776" s="5"/>
      <c r="C776" s="5"/>
      <c r="D776" s="5"/>
      <c r="E776" s="5"/>
      <c r="F776" s="5"/>
      <c r="G776" s="5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5"/>
      <c r="B777" s="5"/>
      <c r="C777" s="5"/>
      <c r="D777" s="5"/>
      <c r="E777" s="5"/>
      <c r="F777" s="5"/>
      <c r="G777" s="5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5"/>
      <c r="B778" s="5"/>
      <c r="C778" s="5"/>
      <c r="D778" s="5"/>
      <c r="E778" s="5"/>
      <c r="F778" s="5"/>
      <c r="G778" s="5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5"/>
      <c r="B779" s="5"/>
      <c r="C779" s="5"/>
      <c r="D779" s="5"/>
      <c r="E779" s="5"/>
      <c r="F779" s="5"/>
      <c r="G779" s="5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5"/>
      <c r="B780" s="5"/>
      <c r="C780" s="5"/>
      <c r="D780" s="5"/>
      <c r="E780" s="5"/>
      <c r="F780" s="5"/>
      <c r="G780" s="5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5"/>
      <c r="B781" s="5"/>
      <c r="C781" s="5"/>
      <c r="D781" s="5"/>
      <c r="E781" s="5"/>
      <c r="F781" s="5"/>
      <c r="G781" s="5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5"/>
      <c r="B782" s="5"/>
      <c r="C782" s="5"/>
      <c r="D782" s="5"/>
      <c r="E782" s="5"/>
      <c r="F782" s="5"/>
      <c r="G782" s="5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5"/>
      <c r="B783" s="5"/>
      <c r="C783" s="5"/>
      <c r="D783" s="5"/>
      <c r="E783" s="5"/>
      <c r="F783" s="5"/>
      <c r="G783" s="5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5"/>
      <c r="B784" s="5"/>
      <c r="C784" s="5"/>
      <c r="D784" s="5"/>
      <c r="E784" s="5"/>
      <c r="F784" s="5"/>
      <c r="G784" s="5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5"/>
      <c r="B785" s="5"/>
      <c r="C785" s="5"/>
      <c r="D785" s="5"/>
      <c r="E785" s="5"/>
      <c r="F785" s="5"/>
      <c r="G785" s="5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5"/>
      <c r="B786" s="5"/>
      <c r="C786" s="5"/>
      <c r="D786" s="5"/>
      <c r="E786" s="5"/>
      <c r="F786" s="5"/>
      <c r="G786" s="5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5"/>
      <c r="B787" s="5"/>
      <c r="C787" s="5"/>
      <c r="D787" s="5"/>
      <c r="E787" s="5"/>
      <c r="F787" s="5"/>
      <c r="G787" s="5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5"/>
      <c r="B788" s="5"/>
      <c r="C788" s="5"/>
      <c r="D788" s="5"/>
      <c r="E788" s="5"/>
      <c r="F788" s="5"/>
      <c r="G788" s="5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5"/>
      <c r="B789" s="5"/>
      <c r="C789" s="5"/>
      <c r="D789" s="5"/>
      <c r="E789" s="5"/>
      <c r="F789" s="5"/>
      <c r="G789" s="5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5"/>
      <c r="B790" s="5"/>
      <c r="C790" s="5"/>
      <c r="D790" s="5"/>
      <c r="E790" s="5"/>
      <c r="F790" s="5"/>
      <c r="G790" s="5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5"/>
      <c r="B791" s="5"/>
      <c r="C791" s="5"/>
      <c r="D791" s="5"/>
      <c r="E791" s="5"/>
      <c r="F791" s="5"/>
      <c r="G791" s="5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5"/>
      <c r="B792" s="5"/>
      <c r="C792" s="5"/>
      <c r="D792" s="5"/>
      <c r="E792" s="5"/>
      <c r="F792" s="5"/>
      <c r="G792" s="5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5"/>
      <c r="B793" s="5"/>
      <c r="C793" s="5"/>
      <c r="D793" s="5"/>
      <c r="E793" s="5"/>
      <c r="F793" s="5"/>
      <c r="G793" s="5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5"/>
      <c r="B794" s="5"/>
      <c r="C794" s="5"/>
      <c r="D794" s="5"/>
      <c r="E794" s="5"/>
      <c r="F794" s="5"/>
      <c r="G794" s="5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5"/>
      <c r="B795" s="5"/>
      <c r="C795" s="5"/>
      <c r="D795" s="5"/>
      <c r="E795" s="5"/>
      <c r="F795" s="5"/>
      <c r="G795" s="5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5"/>
      <c r="B796" s="5"/>
      <c r="C796" s="5"/>
      <c r="D796" s="5"/>
      <c r="E796" s="5"/>
      <c r="F796" s="5"/>
      <c r="G796" s="5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5"/>
      <c r="B797" s="5"/>
      <c r="C797" s="5"/>
      <c r="D797" s="5"/>
      <c r="E797" s="5"/>
      <c r="F797" s="5"/>
      <c r="G797" s="5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5"/>
      <c r="B798" s="5"/>
      <c r="C798" s="5"/>
      <c r="D798" s="5"/>
      <c r="E798" s="5"/>
      <c r="F798" s="5"/>
      <c r="G798" s="5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5"/>
      <c r="B799" s="5"/>
      <c r="C799" s="5"/>
      <c r="D799" s="5"/>
      <c r="E799" s="5"/>
      <c r="F799" s="5"/>
      <c r="G799" s="5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5"/>
      <c r="B800" s="5"/>
      <c r="C800" s="5"/>
      <c r="D800" s="5"/>
      <c r="E800" s="5"/>
      <c r="F800" s="5"/>
      <c r="G800" s="5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5"/>
      <c r="B801" s="5"/>
      <c r="C801" s="5"/>
      <c r="D801" s="5"/>
      <c r="E801" s="5"/>
      <c r="F801" s="5"/>
      <c r="G801" s="5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5"/>
      <c r="B802" s="5"/>
      <c r="C802" s="5"/>
      <c r="D802" s="5"/>
      <c r="E802" s="5"/>
      <c r="F802" s="5"/>
      <c r="G802" s="5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5"/>
      <c r="B803" s="5"/>
      <c r="C803" s="5"/>
      <c r="D803" s="5"/>
      <c r="E803" s="5"/>
      <c r="F803" s="5"/>
      <c r="G803" s="5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5"/>
      <c r="B804" s="5"/>
      <c r="C804" s="5"/>
      <c r="D804" s="5"/>
      <c r="E804" s="5"/>
      <c r="F804" s="5"/>
      <c r="G804" s="5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5"/>
      <c r="B805" s="5"/>
      <c r="C805" s="5"/>
      <c r="D805" s="5"/>
      <c r="E805" s="5"/>
      <c r="F805" s="5"/>
      <c r="G805" s="5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5"/>
      <c r="B806" s="5"/>
      <c r="C806" s="5"/>
      <c r="D806" s="5"/>
      <c r="E806" s="5"/>
      <c r="F806" s="5"/>
      <c r="G806" s="5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5"/>
      <c r="B807" s="5"/>
      <c r="C807" s="5"/>
      <c r="D807" s="5"/>
      <c r="E807" s="5"/>
      <c r="F807" s="5"/>
      <c r="G807" s="5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5"/>
      <c r="B808" s="5"/>
      <c r="C808" s="5"/>
      <c r="D808" s="5"/>
      <c r="E808" s="5"/>
      <c r="F808" s="5"/>
      <c r="G808" s="5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5"/>
      <c r="B809" s="5"/>
      <c r="C809" s="5"/>
      <c r="D809" s="5"/>
      <c r="E809" s="5"/>
      <c r="F809" s="5"/>
      <c r="G809" s="5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5"/>
      <c r="B810" s="5"/>
      <c r="C810" s="5"/>
      <c r="D810" s="5"/>
      <c r="E810" s="5"/>
      <c r="F810" s="5"/>
      <c r="G810" s="5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5"/>
      <c r="B811" s="5"/>
      <c r="C811" s="5"/>
      <c r="D811" s="5"/>
      <c r="E811" s="5"/>
      <c r="F811" s="5"/>
      <c r="G811" s="5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5"/>
      <c r="B812" s="5"/>
      <c r="C812" s="5"/>
      <c r="D812" s="5"/>
      <c r="E812" s="5"/>
      <c r="F812" s="5"/>
      <c r="G812" s="5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5"/>
      <c r="B813" s="5"/>
      <c r="C813" s="5"/>
      <c r="D813" s="5"/>
      <c r="E813" s="5"/>
      <c r="F813" s="5"/>
      <c r="G813" s="5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5"/>
      <c r="B814" s="5"/>
      <c r="C814" s="5"/>
      <c r="D814" s="5"/>
      <c r="E814" s="5"/>
      <c r="F814" s="5"/>
      <c r="G814" s="5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5"/>
      <c r="B815" s="5"/>
      <c r="C815" s="5"/>
      <c r="D815" s="5"/>
      <c r="E815" s="5"/>
      <c r="F815" s="5"/>
      <c r="G815" s="5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5"/>
      <c r="B816" s="5"/>
      <c r="C816" s="5"/>
      <c r="D816" s="5"/>
      <c r="E816" s="5"/>
      <c r="F816" s="5"/>
      <c r="G816" s="5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5"/>
      <c r="B817" s="5"/>
      <c r="C817" s="5"/>
      <c r="D817" s="5"/>
      <c r="E817" s="5"/>
      <c r="F817" s="5"/>
      <c r="G817" s="5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5"/>
      <c r="B818" s="5"/>
      <c r="C818" s="5"/>
      <c r="D818" s="5"/>
      <c r="E818" s="5"/>
      <c r="F818" s="5"/>
      <c r="G818" s="5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5"/>
      <c r="B819" s="5"/>
      <c r="C819" s="5"/>
      <c r="D819" s="5"/>
      <c r="E819" s="5"/>
      <c r="F819" s="5"/>
      <c r="G819" s="5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5"/>
      <c r="B820" s="5"/>
      <c r="C820" s="5"/>
      <c r="D820" s="5"/>
      <c r="E820" s="5"/>
      <c r="F820" s="5"/>
      <c r="G820" s="5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5"/>
      <c r="B821" s="5"/>
      <c r="C821" s="5"/>
      <c r="D821" s="5"/>
      <c r="E821" s="5"/>
      <c r="F821" s="5"/>
      <c r="G821" s="5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5"/>
      <c r="B822" s="5"/>
      <c r="C822" s="5"/>
      <c r="D822" s="5"/>
      <c r="E822" s="5"/>
      <c r="F822" s="5"/>
      <c r="G822" s="5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5"/>
      <c r="B823" s="5"/>
      <c r="C823" s="5"/>
      <c r="D823" s="5"/>
      <c r="E823" s="5"/>
      <c r="F823" s="5"/>
      <c r="G823" s="5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5"/>
      <c r="B824" s="5"/>
      <c r="C824" s="5"/>
      <c r="D824" s="5"/>
      <c r="E824" s="5"/>
      <c r="F824" s="5"/>
      <c r="G824" s="5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5"/>
      <c r="B825" s="5"/>
      <c r="C825" s="5"/>
      <c r="D825" s="5"/>
      <c r="E825" s="5"/>
      <c r="F825" s="5"/>
      <c r="G825" s="5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5"/>
      <c r="B826" s="5"/>
      <c r="C826" s="5"/>
      <c r="D826" s="5"/>
      <c r="E826" s="5"/>
      <c r="F826" s="5"/>
      <c r="G826" s="5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5"/>
      <c r="B827" s="5"/>
      <c r="C827" s="5"/>
      <c r="D827" s="5"/>
      <c r="E827" s="5"/>
      <c r="F827" s="5"/>
      <c r="G827" s="5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5"/>
      <c r="B828" s="5"/>
      <c r="C828" s="5"/>
      <c r="D828" s="5"/>
      <c r="E828" s="5"/>
      <c r="F828" s="5"/>
      <c r="G828" s="5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5"/>
      <c r="B829" s="5"/>
      <c r="C829" s="5"/>
      <c r="D829" s="5"/>
      <c r="E829" s="5"/>
      <c r="F829" s="5"/>
      <c r="G829" s="5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5"/>
      <c r="B830" s="5"/>
      <c r="C830" s="5"/>
      <c r="D830" s="5"/>
      <c r="E830" s="5"/>
      <c r="F830" s="5"/>
      <c r="G830" s="5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5"/>
      <c r="B831" s="5"/>
      <c r="C831" s="5"/>
      <c r="D831" s="5"/>
      <c r="E831" s="5"/>
      <c r="F831" s="5"/>
      <c r="G831" s="5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5"/>
      <c r="B832" s="5"/>
      <c r="C832" s="5"/>
      <c r="D832" s="5"/>
      <c r="E832" s="5"/>
      <c r="F832" s="5"/>
      <c r="G832" s="5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5"/>
      <c r="B833" s="5"/>
      <c r="C833" s="5"/>
      <c r="D833" s="5"/>
      <c r="E833" s="5"/>
      <c r="F833" s="5"/>
      <c r="G833" s="5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5"/>
      <c r="B834" s="5"/>
      <c r="C834" s="5"/>
      <c r="D834" s="5"/>
      <c r="E834" s="5"/>
      <c r="F834" s="5"/>
      <c r="G834" s="5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5"/>
      <c r="B835" s="5"/>
      <c r="C835" s="5"/>
      <c r="D835" s="5"/>
      <c r="E835" s="5"/>
      <c r="F835" s="5"/>
      <c r="G835" s="5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5"/>
      <c r="B836" s="5"/>
      <c r="C836" s="5"/>
      <c r="D836" s="5"/>
      <c r="E836" s="5"/>
      <c r="F836" s="5"/>
      <c r="G836" s="5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5"/>
      <c r="B837" s="5"/>
      <c r="C837" s="5"/>
      <c r="D837" s="5"/>
      <c r="E837" s="5"/>
      <c r="F837" s="5"/>
      <c r="G837" s="5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5"/>
      <c r="B838" s="5"/>
      <c r="C838" s="5"/>
      <c r="D838" s="5"/>
      <c r="E838" s="5"/>
      <c r="F838" s="5"/>
      <c r="G838" s="5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5"/>
      <c r="B839" s="5"/>
      <c r="C839" s="5"/>
      <c r="D839" s="5"/>
      <c r="E839" s="5"/>
      <c r="F839" s="5"/>
      <c r="G839" s="5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5"/>
      <c r="B840" s="5"/>
      <c r="C840" s="5"/>
      <c r="D840" s="5"/>
      <c r="E840" s="5"/>
      <c r="F840" s="5"/>
      <c r="G840" s="5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5"/>
      <c r="B841" s="5"/>
      <c r="C841" s="5"/>
      <c r="D841" s="5"/>
      <c r="E841" s="5"/>
      <c r="F841" s="5"/>
      <c r="G841" s="5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5"/>
      <c r="B842" s="5"/>
      <c r="C842" s="5"/>
      <c r="D842" s="5"/>
      <c r="E842" s="5"/>
      <c r="F842" s="5"/>
      <c r="G842" s="5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5"/>
      <c r="B843" s="5"/>
      <c r="C843" s="5"/>
      <c r="D843" s="5"/>
      <c r="E843" s="5"/>
      <c r="F843" s="5"/>
      <c r="G843" s="5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5"/>
      <c r="B844" s="5"/>
      <c r="C844" s="5"/>
      <c r="D844" s="5"/>
      <c r="E844" s="5"/>
      <c r="F844" s="5"/>
      <c r="G844" s="5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5"/>
      <c r="B845" s="5"/>
      <c r="C845" s="5"/>
      <c r="D845" s="5"/>
      <c r="E845" s="5"/>
      <c r="F845" s="5"/>
      <c r="G845" s="5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5"/>
      <c r="B846" s="5"/>
      <c r="C846" s="5"/>
      <c r="D846" s="5"/>
      <c r="E846" s="5"/>
      <c r="F846" s="5"/>
      <c r="G846" s="5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5"/>
      <c r="B847" s="5"/>
      <c r="C847" s="5"/>
      <c r="D847" s="5"/>
      <c r="E847" s="5"/>
      <c r="F847" s="5"/>
      <c r="G847" s="5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5"/>
      <c r="B848" s="5"/>
      <c r="C848" s="5"/>
      <c r="D848" s="5"/>
      <c r="E848" s="5"/>
      <c r="F848" s="5"/>
      <c r="G848" s="5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5"/>
      <c r="B849" s="5"/>
      <c r="C849" s="5"/>
      <c r="D849" s="5"/>
      <c r="E849" s="5"/>
      <c r="F849" s="5"/>
      <c r="G849" s="5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5"/>
      <c r="B850" s="5"/>
      <c r="C850" s="5"/>
      <c r="D850" s="5"/>
      <c r="E850" s="5"/>
      <c r="F850" s="5"/>
      <c r="G850" s="5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5"/>
      <c r="B851" s="5"/>
      <c r="C851" s="5"/>
      <c r="D851" s="5"/>
      <c r="E851" s="5"/>
      <c r="F851" s="5"/>
      <c r="G851" s="5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5"/>
      <c r="B852" s="5"/>
      <c r="C852" s="5"/>
      <c r="D852" s="5"/>
      <c r="E852" s="5"/>
      <c r="F852" s="5"/>
      <c r="G852" s="5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5"/>
      <c r="B853" s="5"/>
      <c r="C853" s="5"/>
      <c r="D853" s="5"/>
      <c r="E853" s="5"/>
      <c r="F853" s="5"/>
      <c r="G853" s="5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5"/>
      <c r="B854" s="5"/>
      <c r="C854" s="5"/>
      <c r="D854" s="5"/>
      <c r="E854" s="5"/>
      <c r="F854" s="5"/>
      <c r="G854" s="5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5"/>
      <c r="B855" s="5"/>
      <c r="C855" s="5"/>
      <c r="D855" s="5"/>
      <c r="E855" s="5"/>
      <c r="F855" s="5"/>
      <c r="G855" s="5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5"/>
      <c r="B856" s="5"/>
      <c r="C856" s="5"/>
      <c r="D856" s="5"/>
      <c r="E856" s="5"/>
      <c r="F856" s="5"/>
      <c r="G856" s="5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5"/>
      <c r="B857" s="5"/>
      <c r="C857" s="5"/>
      <c r="D857" s="5"/>
      <c r="E857" s="5"/>
      <c r="F857" s="5"/>
      <c r="G857" s="5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5"/>
      <c r="B858" s="5"/>
      <c r="C858" s="5"/>
      <c r="D858" s="5"/>
      <c r="E858" s="5"/>
      <c r="F858" s="5"/>
      <c r="G858" s="5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5"/>
      <c r="B859" s="5"/>
      <c r="C859" s="5"/>
      <c r="D859" s="5"/>
      <c r="E859" s="5"/>
      <c r="F859" s="5"/>
      <c r="G859" s="5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5"/>
      <c r="B860" s="5"/>
      <c r="C860" s="5"/>
      <c r="D860" s="5"/>
      <c r="E860" s="5"/>
      <c r="F860" s="5"/>
      <c r="G860" s="5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5"/>
      <c r="B861" s="5"/>
      <c r="C861" s="5"/>
      <c r="D861" s="5"/>
      <c r="E861" s="5"/>
      <c r="F861" s="5"/>
      <c r="G861" s="5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5"/>
      <c r="B862" s="5"/>
      <c r="C862" s="5"/>
      <c r="D862" s="5"/>
      <c r="E862" s="5"/>
      <c r="F862" s="5"/>
      <c r="G862" s="5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5"/>
      <c r="B863" s="5"/>
      <c r="C863" s="5"/>
      <c r="D863" s="5"/>
      <c r="E863" s="5"/>
      <c r="F863" s="5"/>
      <c r="G863" s="5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5"/>
      <c r="B864" s="5"/>
      <c r="C864" s="5"/>
      <c r="D864" s="5"/>
      <c r="E864" s="5"/>
      <c r="F864" s="5"/>
      <c r="G864" s="5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5"/>
      <c r="B865" s="5"/>
      <c r="C865" s="5"/>
      <c r="D865" s="5"/>
      <c r="E865" s="5"/>
      <c r="F865" s="5"/>
      <c r="G865" s="5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5"/>
      <c r="B866" s="5"/>
      <c r="C866" s="5"/>
      <c r="D866" s="5"/>
      <c r="E866" s="5"/>
      <c r="F866" s="5"/>
      <c r="G866" s="5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5"/>
      <c r="B867" s="5"/>
      <c r="C867" s="5"/>
      <c r="D867" s="5"/>
      <c r="E867" s="5"/>
      <c r="F867" s="5"/>
      <c r="G867" s="5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5"/>
      <c r="B868" s="5"/>
      <c r="C868" s="5"/>
      <c r="D868" s="5"/>
      <c r="E868" s="5"/>
      <c r="F868" s="5"/>
      <c r="G868" s="5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5"/>
      <c r="B869" s="5"/>
      <c r="C869" s="5"/>
      <c r="D869" s="5"/>
      <c r="E869" s="5"/>
      <c r="F869" s="5"/>
      <c r="G869" s="5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5"/>
      <c r="B870" s="5"/>
      <c r="C870" s="5"/>
      <c r="D870" s="5"/>
      <c r="E870" s="5"/>
      <c r="F870" s="5"/>
      <c r="G870" s="5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5"/>
      <c r="B871" s="5"/>
      <c r="C871" s="5"/>
      <c r="D871" s="5"/>
      <c r="E871" s="5"/>
      <c r="F871" s="5"/>
      <c r="G871" s="5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5"/>
      <c r="B872" s="5"/>
      <c r="C872" s="5"/>
      <c r="D872" s="5"/>
      <c r="E872" s="5"/>
      <c r="F872" s="5"/>
      <c r="G872" s="5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5"/>
      <c r="B873" s="5"/>
      <c r="C873" s="5"/>
      <c r="D873" s="5"/>
      <c r="E873" s="5"/>
      <c r="F873" s="5"/>
      <c r="G873" s="5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5"/>
      <c r="B874" s="5"/>
      <c r="C874" s="5"/>
      <c r="D874" s="5"/>
      <c r="E874" s="5"/>
      <c r="F874" s="5"/>
      <c r="G874" s="5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5"/>
      <c r="B875" s="5"/>
      <c r="C875" s="5"/>
      <c r="D875" s="5"/>
      <c r="E875" s="5"/>
      <c r="F875" s="5"/>
      <c r="G875" s="5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5"/>
      <c r="B876" s="5"/>
      <c r="C876" s="5"/>
      <c r="D876" s="5"/>
      <c r="E876" s="5"/>
      <c r="F876" s="5"/>
      <c r="G876" s="5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5"/>
      <c r="B877" s="5"/>
      <c r="C877" s="5"/>
      <c r="D877" s="5"/>
      <c r="E877" s="5"/>
      <c r="F877" s="5"/>
      <c r="G877" s="5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5"/>
      <c r="B878" s="5"/>
      <c r="C878" s="5"/>
      <c r="D878" s="5"/>
      <c r="E878" s="5"/>
      <c r="F878" s="5"/>
      <c r="G878" s="5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5"/>
      <c r="B879" s="5"/>
      <c r="C879" s="5"/>
      <c r="D879" s="5"/>
      <c r="E879" s="5"/>
      <c r="F879" s="5"/>
      <c r="G879" s="5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5"/>
      <c r="B880" s="5"/>
      <c r="C880" s="5"/>
      <c r="D880" s="5"/>
      <c r="E880" s="5"/>
      <c r="F880" s="5"/>
      <c r="G880" s="5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5"/>
      <c r="B881" s="5"/>
      <c r="C881" s="5"/>
      <c r="D881" s="5"/>
      <c r="E881" s="5"/>
      <c r="F881" s="5"/>
      <c r="G881" s="5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5"/>
      <c r="B882" s="5"/>
      <c r="C882" s="5"/>
      <c r="D882" s="5"/>
      <c r="E882" s="5"/>
      <c r="F882" s="5"/>
      <c r="G882" s="5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5"/>
      <c r="B883" s="5"/>
      <c r="C883" s="5"/>
      <c r="D883" s="5"/>
      <c r="E883" s="5"/>
      <c r="F883" s="5"/>
      <c r="G883" s="5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5"/>
      <c r="B884" s="5"/>
      <c r="C884" s="5"/>
      <c r="D884" s="5"/>
      <c r="E884" s="5"/>
      <c r="F884" s="5"/>
      <c r="G884" s="5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5"/>
      <c r="B885" s="5"/>
      <c r="C885" s="5"/>
      <c r="D885" s="5"/>
      <c r="E885" s="5"/>
      <c r="F885" s="5"/>
      <c r="G885" s="5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5"/>
      <c r="B886" s="5"/>
      <c r="C886" s="5"/>
      <c r="D886" s="5"/>
      <c r="E886" s="5"/>
      <c r="F886" s="5"/>
      <c r="G886" s="5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5"/>
      <c r="B887" s="5"/>
      <c r="C887" s="5"/>
      <c r="D887" s="5"/>
      <c r="E887" s="5"/>
      <c r="F887" s="5"/>
      <c r="G887" s="5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5"/>
      <c r="B888" s="5"/>
      <c r="C888" s="5"/>
      <c r="D888" s="5"/>
      <c r="E888" s="5"/>
      <c r="F888" s="5"/>
      <c r="G888" s="5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5"/>
      <c r="B889" s="5"/>
      <c r="C889" s="5"/>
      <c r="D889" s="5"/>
      <c r="E889" s="5"/>
      <c r="F889" s="5"/>
      <c r="G889" s="5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5"/>
      <c r="B890" s="5"/>
      <c r="C890" s="5"/>
      <c r="D890" s="5"/>
      <c r="E890" s="5"/>
      <c r="F890" s="5"/>
      <c r="G890" s="5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5"/>
      <c r="B891" s="5"/>
      <c r="C891" s="5"/>
      <c r="D891" s="5"/>
      <c r="E891" s="5"/>
      <c r="F891" s="5"/>
      <c r="G891" s="5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5"/>
      <c r="B892" s="5"/>
      <c r="C892" s="5"/>
      <c r="D892" s="5"/>
      <c r="E892" s="5"/>
      <c r="F892" s="5"/>
      <c r="G892" s="5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5"/>
      <c r="B893" s="5"/>
      <c r="C893" s="5"/>
      <c r="D893" s="5"/>
      <c r="E893" s="5"/>
      <c r="F893" s="5"/>
      <c r="G893" s="5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5"/>
      <c r="B894" s="5"/>
      <c r="C894" s="5"/>
      <c r="D894" s="5"/>
      <c r="E894" s="5"/>
      <c r="F894" s="5"/>
      <c r="G894" s="5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5"/>
      <c r="B895" s="5"/>
      <c r="C895" s="5"/>
      <c r="D895" s="5"/>
      <c r="E895" s="5"/>
      <c r="F895" s="5"/>
      <c r="G895" s="5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5"/>
      <c r="B896" s="5"/>
      <c r="C896" s="5"/>
      <c r="D896" s="5"/>
      <c r="E896" s="5"/>
      <c r="F896" s="5"/>
      <c r="G896" s="5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5"/>
      <c r="B897" s="5"/>
      <c r="C897" s="5"/>
      <c r="D897" s="5"/>
      <c r="E897" s="5"/>
      <c r="F897" s="5"/>
      <c r="G897" s="5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5"/>
      <c r="B898" s="5"/>
      <c r="C898" s="5"/>
      <c r="D898" s="5"/>
      <c r="E898" s="5"/>
      <c r="F898" s="5"/>
      <c r="G898" s="5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5"/>
      <c r="B899" s="5"/>
      <c r="C899" s="5"/>
      <c r="D899" s="5"/>
      <c r="E899" s="5"/>
      <c r="F899" s="5"/>
      <c r="G899" s="5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5"/>
      <c r="B900" s="5"/>
      <c r="C900" s="5"/>
      <c r="D900" s="5"/>
      <c r="E900" s="5"/>
      <c r="F900" s="5"/>
      <c r="G900" s="5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5"/>
      <c r="B901" s="5"/>
      <c r="C901" s="5"/>
      <c r="D901" s="5"/>
      <c r="E901" s="5"/>
      <c r="F901" s="5"/>
      <c r="G901" s="5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5"/>
      <c r="B902" s="5"/>
      <c r="C902" s="5"/>
      <c r="D902" s="5"/>
      <c r="E902" s="5"/>
      <c r="F902" s="5"/>
      <c r="G902" s="5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5"/>
      <c r="B903" s="5"/>
      <c r="C903" s="5"/>
      <c r="D903" s="5"/>
      <c r="E903" s="5"/>
      <c r="F903" s="5"/>
      <c r="G903" s="5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5"/>
      <c r="B904" s="5"/>
      <c r="C904" s="5"/>
      <c r="D904" s="5"/>
      <c r="E904" s="5"/>
      <c r="F904" s="5"/>
      <c r="G904" s="5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5"/>
      <c r="B905" s="5"/>
      <c r="C905" s="5"/>
      <c r="D905" s="5"/>
      <c r="E905" s="5"/>
      <c r="F905" s="5"/>
      <c r="G905" s="5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5"/>
      <c r="B906" s="5"/>
      <c r="C906" s="5"/>
      <c r="D906" s="5"/>
      <c r="E906" s="5"/>
      <c r="F906" s="5"/>
      <c r="G906" s="5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5"/>
      <c r="B907" s="5"/>
      <c r="C907" s="5"/>
      <c r="D907" s="5"/>
      <c r="E907" s="5"/>
      <c r="F907" s="5"/>
      <c r="G907" s="5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5"/>
      <c r="B908" s="5"/>
      <c r="C908" s="5"/>
      <c r="D908" s="5"/>
      <c r="E908" s="5"/>
      <c r="F908" s="5"/>
      <c r="G908" s="5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5"/>
      <c r="B909" s="5"/>
      <c r="C909" s="5"/>
      <c r="D909" s="5"/>
      <c r="E909" s="5"/>
      <c r="F909" s="5"/>
      <c r="G909" s="5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5"/>
      <c r="B910" s="5"/>
      <c r="C910" s="5"/>
      <c r="D910" s="5"/>
      <c r="E910" s="5"/>
      <c r="F910" s="5"/>
      <c r="G910" s="5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5"/>
      <c r="B911" s="5"/>
      <c r="C911" s="5"/>
      <c r="D911" s="5"/>
      <c r="E911" s="5"/>
      <c r="F911" s="5"/>
      <c r="G911" s="5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5"/>
      <c r="B912" s="5"/>
      <c r="C912" s="5"/>
      <c r="D912" s="5"/>
      <c r="E912" s="5"/>
      <c r="F912" s="5"/>
      <c r="G912" s="5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5"/>
      <c r="B913" s="5"/>
      <c r="C913" s="5"/>
      <c r="D913" s="5"/>
      <c r="E913" s="5"/>
      <c r="F913" s="5"/>
      <c r="G913" s="5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5"/>
      <c r="B914" s="5"/>
      <c r="C914" s="5"/>
      <c r="D914" s="5"/>
      <c r="E914" s="5"/>
      <c r="F914" s="5"/>
      <c r="G914" s="5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5"/>
      <c r="B915" s="5"/>
      <c r="C915" s="5"/>
      <c r="D915" s="5"/>
      <c r="E915" s="5"/>
      <c r="F915" s="5"/>
      <c r="G915" s="5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5"/>
      <c r="B916" s="5"/>
      <c r="C916" s="5"/>
      <c r="D916" s="5"/>
      <c r="E916" s="5"/>
      <c r="F916" s="5"/>
      <c r="G916" s="5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5"/>
      <c r="B917" s="5"/>
      <c r="C917" s="5"/>
      <c r="D917" s="5"/>
      <c r="E917" s="5"/>
      <c r="F917" s="5"/>
      <c r="G917" s="5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5"/>
      <c r="B918" s="5"/>
      <c r="C918" s="5"/>
      <c r="D918" s="5"/>
      <c r="E918" s="5"/>
      <c r="F918" s="5"/>
      <c r="G918" s="5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5"/>
      <c r="B919" s="5"/>
      <c r="C919" s="5"/>
      <c r="D919" s="5"/>
      <c r="E919" s="5"/>
      <c r="F919" s="5"/>
      <c r="G919" s="5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5"/>
      <c r="B920" s="5"/>
      <c r="C920" s="5"/>
      <c r="D920" s="5"/>
      <c r="E920" s="5"/>
      <c r="F920" s="5"/>
      <c r="G920" s="5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5"/>
      <c r="B921" s="5"/>
      <c r="C921" s="5"/>
      <c r="D921" s="5"/>
      <c r="E921" s="5"/>
      <c r="F921" s="5"/>
      <c r="G921" s="5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5"/>
      <c r="B922" s="5"/>
      <c r="C922" s="5"/>
      <c r="D922" s="5"/>
      <c r="E922" s="5"/>
      <c r="F922" s="5"/>
      <c r="G922" s="5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5"/>
      <c r="B923" s="5"/>
      <c r="C923" s="5"/>
      <c r="D923" s="5"/>
      <c r="E923" s="5"/>
      <c r="F923" s="5"/>
      <c r="G923" s="5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5"/>
      <c r="B924" s="5"/>
      <c r="C924" s="5"/>
      <c r="D924" s="5"/>
      <c r="E924" s="5"/>
      <c r="F924" s="5"/>
      <c r="G924" s="5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5"/>
      <c r="B925" s="5"/>
      <c r="C925" s="5"/>
      <c r="D925" s="5"/>
      <c r="E925" s="5"/>
      <c r="F925" s="5"/>
      <c r="G925" s="5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5"/>
      <c r="B926" s="5"/>
      <c r="C926" s="5"/>
      <c r="D926" s="5"/>
      <c r="E926" s="5"/>
      <c r="F926" s="5"/>
      <c r="G926" s="5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5"/>
      <c r="B927" s="5"/>
      <c r="C927" s="5"/>
      <c r="D927" s="5"/>
      <c r="E927" s="5"/>
      <c r="F927" s="5"/>
      <c r="G927" s="5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5"/>
      <c r="B928" s="5"/>
      <c r="C928" s="5"/>
      <c r="D928" s="5"/>
      <c r="E928" s="5"/>
      <c r="F928" s="5"/>
      <c r="G928" s="5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5"/>
      <c r="B929" s="5"/>
      <c r="C929" s="5"/>
      <c r="D929" s="5"/>
      <c r="E929" s="5"/>
      <c r="F929" s="5"/>
      <c r="G929" s="5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5"/>
      <c r="B930" s="5"/>
      <c r="C930" s="5"/>
      <c r="D930" s="5"/>
      <c r="E930" s="5"/>
      <c r="F930" s="5"/>
      <c r="G930" s="5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5"/>
      <c r="B931" s="5"/>
      <c r="C931" s="5"/>
      <c r="D931" s="5"/>
      <c r="E931" s="5"/>
      <c r="F931" s="5"/>
      <c r="G931" s="5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5"/>
      <c r="B932" s="5"/>
      <c r="C932" s="5"/>
      <c r="D932" s="5"/>
      <c r="E932" s="5"/>
      <c r="F932" s="5"/>
      <c r="G932" s="5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5"/>
      <c r="B933" s="5"/>
      <c r="C933" s="5"/>
      <c r="D933" s="5"/>
      <c r="E933" s="5"/>
      <c r="F933" s="5"/>
      <c r="G933" s="5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5"/>
      <c r="B934" s="5"/>
      <c r="C934" s="5"/>
      <c r="D934" s="5"/>
      <c r="E934" s="5"/>
      <c r="F934" s="5"/>
      <c r="G934" s="5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5"/>
      <c r="B935" s="5"/>
      <c r="C935" s="5"/>
      <c r="D935" s="5"/>
      <c r="E935" s="5"/>
      <c r="F935" s="5"/>
      <c r="G935" s="5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5"/>
      <c r="B936" s="5"/>
      <c r="C936" s="5"/>
      <c r="D936" s="5"/>
      <c r="E936" s="5"/>
      <c r="F936" s="5"/>
      <c r="G936" s="5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5"/>
      <c r="B937" s="5"/>
      <c r="C937" s="5"/>
      <c r="D937" s="5"/>
      <c r="E937" s="5"/>
      <c r="F937" s="5"/>
      <c r="G937" s="5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5"/>
      <c r="B938" s="5"/>
      <c r="C938" s="5"/>
      <c r="D938" s="5"/>
      <c r="E938" s="5"/>
      <c r="F938" s="5"/>
      <c r="G938" s="5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5"/>
      <c r="B939" s="5"/>
      <c r="C939" s="5"/>
      <c r="D939" s="5"/>
      <c r="E939" s="5"/>
      <c r="F939" s="5"/>
      <c r="G939" s="5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5"/>
      <c r="B940" s="5"/>
      <c r="C940" s="5"/>
      <c r="D940" s="5"/>
      <c r="E940" s="5"/>
      <c r="F940" s="5"/>
      <c r="G940" s="5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5"/>
      <c r="B941" s="5"/>
      <c r="C941" s="5"/>
      <c r="D941" s="5"/>
      <c r="E941" s="5"/>
      <c r="F941" s="5"/>
      <c r="G941" s="5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5"/>
      <c r="B942" s="5"/>
      <c r="C942" s="5"/>
      <c r="D942" s="5"/>
      <c r="E942" s="5"/>
      <c r="F942" s="5"/>
      <c r="G942" s="5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5"/>
      <c r="B943" s="5"/>
      <c r="C943" s="5"/>
      <c r="D943" s="5"/>
      <c r="E943" s="5"/>
      <c r="F943" s="5"/>
      <c r="G943" s="5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5"/>
      <c r="B944" s="5"/>
      <c r="C944" s="5"/>
      <c r="D944" s="5"/>
      <c r="E944" s="5"/>
      <c r="F944" s="5"/>
      <c r="G944" s="5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5"/>
      <c r="B945" s="5"/>
      <c r="C945" s="5"/>
      <c r="D945" s="5"/>
      <c r="E945" s="5"/>
      <c r="F945" s="5"/>
      <c r="G945" s="5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5"/>
      <c r="B946" s="5"/>
      <c r="C946" s="5"/>
      <c r="D946" s="5"/>
      <c r="E946" s="5"/>
      <c r="F946" s="5"/>
      <c r="G946" s="5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5"/>
      <c r="B947" s="5"/>
      <c r="C947" s="5"/>
      <c r="D947" s="5"/>
      <c r="E947" s="5"/>
      <c r="F947" s="5"/>
      <c r="G947" s="5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5"/>
      <c r="B948" s="5"/>
      <c r="C948" s="5"/>
      <c r="D948" s="5"/>
      <c r="E948" s="5"/>
      <c r="F948" s="5"/>
      <c r="G948" s="5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5"/>
      <c r="B949" s="5"/>
      <c r="C949" s="5"/>
      <c r="D949" s="5"/>
      <c r="E949" s="5"/>
      <c r="F949" s="5"/>
      <c r="G949" s="5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5"/>
      <c r="B950" s="5"/>
      <c r="C950" s="5"/>
      <c r="D950" s="5"/>
      <c r="E950" s="5"/>
      <c r="F950" s="5"/>
      <c r="G950" s="5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5"/>
      <c r="B951" s="5"/>
      <c r="C951" s="5"/>
      <c r="D951" s="5"/>
      <c r="E951" s="5"/>
      <c r="F951" s="5"/>
      <c r="G951" s="5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5"/>
      <c r="B952" s="5"/>
      <c r="C952" s="5"/>
      <c r="D952" s="5"/>
      <c r="E952" s="5"/>
      <c r="F952" s="5"/>
      <c r="G952" s="5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5"/>
      <c r="B953" s="5"/>
      <c r="C953" s="5"/>
      <c r="D953" s="5"/>
      <c r="E953" s="5"/>
      <c r="F953" s="5"/>
      <c r="G953" s="5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5"/>
      <c r="B954" s="5"/>
      <c r="C954" s="5"/>
      <c r="D954" s="5"/>
      <c r="E954" s="5"/>
      <c r="F954" s="5"/>
      <c r="G954" s="5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5"/>
      <c r="B955" s="5"/>
      <c r="C955" s="5"/>
      <c r="D955" s="5"/>
      <c r="E955" s="5"/>
      <c r="F955" s="5"/>
      <c r="G955" s="5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5"/>
      <c r="B956" s="5"/>
      <c r="C956" s="5"/>
      <c r="D956" s="5"/>
      <c r="E956" s="5"/>
      <c r="F956" s="5"/>
      <c r="G956" s="5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5"/>
      <c r="B957" s="5"/>
      <c r="C957" s="5"/>
      <c r="D957" s="5"/>
      <c r="E957" s="5"/>
      <c r="F957" s="5"/>
      <c r="G957" s="5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5"/>
      <c r="B958" s="5"/>
      <c r="C958" s="5"/>
      <c r="D958" s="5"/>
      <c r="E958" s="5"/>
      <c r="F958" s="5"/>
      <c r="G958" s="5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5"/>
      <c r="B959" s="5"/>
      <c r="C959" s="5"/>
      <c r="D959" s="5"/>
      <c r="E959" s="5"/>
      <c r="F959" s="5"/>
      <c r="G959" s="5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5"/>
      <c r="B960" s="5"/>
      <c r="C960" s="5"/>
      <c r="D960" s="5"/>
      <c r="E960" s="5"/>
      <c r="F960" s="5"/>
      <c r="G960" s="5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5"/>
      <c r="B961" s="5"/>
      <c r="C961" s="5"/>
      <c r="D961" s="5"/>
      <c r="E961" s="5"/>
      <c r="F961" s="5"/>
      <c r="G961" s="5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5"/>
      <c r="B962" s="5"/>
      <c r="C962" s="5"/>
      <c r="D962" s="5"/>
      <c r="E962" s="5"/>
      <c r="F962" s="5"/>
      <c r="G962" s="5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5"/>
      <c r="B963" s="5"/>
      <c r="C963" s="5"/>
      <c r="D963" s="5"/>
      <c r="E963" s="5"/>
      <c r="F963" s="5"/>
      <c r="G963" s="5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5"/>
      <c r="B964" s="5"/>
      <c r="C964" s="5"/>
      <c r="D964" s="5"/>
      <c r="E964" s="5"/>
      <c r="F964" s="5"/>
      <c r="G964" s="5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5"/>
      <c r="B965" s="5"/>
      <c r="C965" s="5"/>
      <c r="D965" s="5"/>
      <c r="E965" s="5"/>
      <c r="F965" s="5"/>
      <c r="G965" s="5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5"/>
      <c r="B966" s="5"/>
      <c r="C966" s="5"/>
      <c r="D966" s="5"/>
      <c r="E966" s="5"/>
      <c r="F966" s="5"/>
      <c r="G966" s="5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5"/>
      <c r="B967" s="5"/>
      <c r="C967" s="5"/>
      <c r="D967" s="5"/>
      <c r="E967" s="5"/>
      <c r="F967" s="5"/>
      <c r="G967" s="5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5"/>
      <c r="B968" s="5"/>
      <c r="C968" s="5"/>
      <c r="D968" s="5"/>
      <c r="E968" s="5"/>
      <c r="F968" s="5"/>
      <c r="G968" s="5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5"/>
      <c r="B969" s="5"/>
      <c r="C969" s="5"/>
      <c r="D969" s="5"/>
      <c r="E969" s="5"/>
      <c r="F969" s="5"/>
      <c r="G969" s="5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5"/>
      <c r="B970" s="5"/>
      <c r="C970" s="5"/>
      <c r="D970" s="5"/>
      <c r="E970" s="5"/>
      <c r="F970" s="5"/>
      <c r="G970" s="5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5"/>
      <c r="B971" s="5"/>
      <c r="C971" s="5"/>
      <c r="D971" s="5"/>
      <c r="E971" s="5"/>
      <c r="F971" s="5"/>
      <c r="G971" s="5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5"/>
      <c r="B972" s="5"/>
      <c r="C972" s="5"/>
      <c r="D972" s="5"/>
      <c r="E972" s="5"/>
      <c r="F972" s="5"/>
      <c r="G972" s="5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5"/>
      <c r="B973" s="5"/>
      <c r="C973" s="5"/>
      <c r="D973" s="5"/>
      <c r="E973" s="5"/>
      <c r="F973" s="5"/>
      <c r="G973" s="5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5"/>
      <c r="B974" s="5"/>
      <c r="C974" s="5"/>
      <c r="D974" s="5"/>
      <c r="E974" s="5"/>
      <c r="F974" s="5"/>
      <c r="G974" s="5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5"/>
      <c r="B975" s="5"/>
      <c r="C975" s="5"/>
      <c r="D975" s="5"/>
      <c r="E975" s="5"/>
      <c r="F975" s="5"/>
      <c r="G975" s="5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5"/>
      <c r="B976" s="5"/>
      <c r="C976" s="5"/>
      <c r="D976" s="5"/>
      <c r="E976" s="5"/>
      <c r="F976" s="5"/>
      <c r="G976" s="5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5"/>
      <c r="B977" s="5"/>
      <c r="C977" s="5"/>
      <c r="D977" s="5"/>
      <c r="E977" s="5"/>
      <c r="F977" s="5"/>
      <c r="G977" s="5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5"/>
      <c r="B978" s="5"/>
      <c r="C978" s="5"/>
      <c r="D978" s="5"/>
      <c r="E978" s="5"/>
      <c r="F978" s="5"/>
      <c r="G978" s="5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5"/>
      <c r="B979" s="5"/>
      <c r="C979" s="5"/>
      <c r="D979" s="5"/>
      <c r="E979" s="5"/>
      <c r="F979" s="5"/>
      <c r="G979" s="5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5"/>
      <c r="B980" s="5"/>
      <c r="C980" s="5"/>
      <c r="D980" s="5"/>
      <c r="E980" s="5"/>
      <c r="F980" s="5"/>
      <c r="G980" s="5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5"/>
      <c r="B981" s="5"/>
      <c r="C981" s="5"/>
      <c r="D981" s="5"/>
      <c r="E981" s="5"/>
      <c r="F981" s="5"/>
      <c r="G981" s="5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5"/>
      <c r="B982" s="5"/>
      <c r="C982" s="5"/>
      <c r="D982" s="5"/>
      <c r="E982" s="5"/>
      <c r="F982" s="5"/>
      <c r="G982" s="5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5"/>
      <c r="B983" s="5"/>
      <c r="C983" s="5"/>
      <c r="D983" s="5"/>
      <c r="E983" s="5"/>
      <c r="F983" s="5"/>
      <c r="G983" s="5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5"/>
      <c r="B984" s="5"/>
      <c r="C984" s="5"/>
      <c r="D984" s="5"/>
      <c r="E984" s="5"/>
      <c r="F984" s="5"/>
      <c r="G984" s="5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5"/>
      <c r="B985" s="5"/>
      <c r="C985" s="5"/>
      <c r="D985" s="5"/>
      <c r="E985" s="5"/>
      <c r="F985" s="5"/>
      <c r="G985" s="5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5"/>
      <c r="B986" s="5"/>
      <c r="C986" s="5"/>
      <c r="D986" s="5"/>
      <c r="E986" s="5"/>
      <c r="F986" s="5"/>
      <c r="G986" s="5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5"/>
      <c r="B987" s="5"/>
      <c r="C987" s="5"/>
      <c r="D987" s="5"/>
      <c r="E987" s="5"/>
      <c r="F987" s="5"/>
      <c r="G987" s="5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5"/>
      <c r="B988" s="5"/>
      <c r="C988" s="5"/>
      <c r="D988" s="5"/>
      <c r="E988" s="5"/>
      <c r="F988" s="5"/>
      <c r="G988" s="5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5"/>
      <c r="B989" s="5"/>
      <c r="C989" s="5"/>
      <c r="D989" s="5"/>
      <c r="E989" s="5"/>
      <c r="F989" s="5"/>
      <c r="G989" s="5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5"/>
      <c r="B990" s="5"/>
      <c r="C990" s="5"/>
      <c r="D990" s="5"/>
      <c r="E990" s="5"/>
      <c r="F990" s="5"/>
      <c r="G990" s="5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5"/>
      <c r="B991" s="5"/>
      <c r="C991" s="5"/>
      <c r="D991" s="5"/>
      <c r="E991" s="5"/>
      <c r="F991" s="5"/>
      <c r="G991" s="5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5"/>
      <c r="B992" s="5"/>
      <c r="C992" s="5"/>
      <c r="D992" s="5"/>
      <c r="E992" s="5"/>
      <c r="F992" s="5"/>
      <c r="G992" s="5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5"/>
      <c r="B993" s="5"/>
      <c r="C993" s="5"/>
      <c r="D993" s="5"/>
      <c r="E993" s="5"/>
      <c r="F993" s="5"/>
      <c r="G993" s="5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5"/>
      <c r="B994" s="5"/>
      <c r="C994" s="5"/>
      <c r="D994" s="5"/>
      <c r="E994" s="5"/>
      <c r="F994" s="5"/>
      <c r="G994" s="5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5"/>
      <c r="B995" s="5"/>
      <c r="C995" s="5"/>
      <c r="D995" s="5"/>
      <c r="E995" s="5"/>
      <c r="F995" s="5"/>
      <c r="G995" s="5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5"/>
      <c r="B996" s="5"/>
      <c r="C996" s="5"/>
      <c r="D996" s="5"/>
      <c r="E996" s="5"/>
      <c r="F996" s="5"/>
      <c r="G996" s="5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5"/>
      <c r="B997" s="5"/>
      <c r="C997" s="5"/>
      <c r="D997" s="5"/>
      <c r="E997" s="5"/>
      <c r="F997" s="5"/>
      <c r="G997" s="5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5"/>
      <c r="B998" s="5"/>
      <c r="C998" s="5"/>
      <c r="D998" s="5"/>
      <c r="E998" s="5"/>
      <c r="F998" s="5"/>
      <c r="G998" s="5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5"/>
      <c r="B999" s="5"/>
      <c r="C999" s="5"/>
      <c r="D999" s="5"/>
      <c r="E999" s="5"/>
      <c r="F999" s="5"/>
      <c r="G999" s="5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5"/>
      <c r="B1000" s="5"/>
      <c r="C1000" s="5"/>
      <c r="D1000" s="5"/>
      <c r="E1000" s="5"/>
      <c r="F1000" s="5"/>
      <c r="G1000" s="5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D$500"/>
  <dataValidations>
    <dataValidation type="list" allowBlank="1" showErrorMessage="1" sqref="H2:H4">
      <formula1>$A$2:$A$101</formula1>
    </dataValidation>
  </dataValidations>
  <printOptions/>
  <pageMargins bottom="0.787401575" footer="0.0" header="0.0" left="0.511811024" right="0.511811024" top="0.787401575"/>
  <pageSetup orientation="landscape"/>
  <drawing r:id="rId1"/>
</worksheet>
</file>