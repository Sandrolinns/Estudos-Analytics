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AFIOS BOOTCAMP" sheetId="1" r:id="rId5"/>
  </sheets>
  <definedNames/>
  <calcPr/>
</workbook>
</file>

<file path=xl/sharedStrings.xml><?xml version="1.0" encoding="utf-8"?>
<sst xmlns="http://schemas.openxmlformats.org/spreadsheetml/2006/main" count="96" uniqueCount="72">
  <si>
    <t>FORMAÇÃO AWS 5.0</t>
  </si>
  <si>
    <t>Plano de Estudos para Inscritos no Bootcamp Imersão AWS - ABR/25</t>
  </si>
  <si>
    <t>SERVIÇO DESAFIO</t>
  </si>
  <si>
    <t>Bootcamp Imersão AWS</t>
  </si>
  <si>
    <t>STATUS DESAFIO</t>
  </si>
  <si>
    <t>OBJETIVO</t>
  </si>
  <si>
    <r>
      <rPr/>
      <t>- Participar ao vivo das aulas do Bootcamp Imersão AWS e ter contato profundo com o método que os meus alunos usam na Formação AWS.
- Após cada aula você receberá um desafio para que possa realizar todas as práticas proposta durante o evento.
- Entre na comunidade do evento no Telegram para tirar todas as dúvidas durante o treinamento e sobre os desafios (</t>
    </r>
    <r>
      <rPr>
        <color rgb="FF1155CC"/>
        <u/>
      </rPr>
      <t>https://comunidade.imersaoaws.com.br</t>
    </r>
    <r>
      <rPr/>
      <t>)</t>
    </r>
  </si>
  <si>
    <t>DATA DE INÍCIO DO BOOTCAMP</t>
  </si>
  <si>
    <t>AULAS PARA ASSISTIR</t>
  </si>
  <si>
    <t>Origem</t>
  </si>
  <si>
    <t>Data/Hora</t>
  </si>
  <si>
    <t>Título</t>
  </si>
  <si>
    <t>Link da Aula</t>
  </si>
  <si>
    <t>Duração</t>
  </si>
  <si>
    <t>Duração + Prática</t>
  </si>
  <si>
    <t>Aula Prática?</t>
  </si>
  <si>
    <t>Concluiu?</t>
  </si>
  <si>
    <t>31/03 - 20h</t>
  </si>
  <si>
    <t>AULA 01: Configuração do Ambiente na nuvem + Oportunidade em trabalhar com AWS</t>
  </si>
  <si>
    <t>02/04 - 20h</t>
  </si>
  <si>
    <t>AULA 02: Migrando nossa app para a AWS e realizando deploy</t>
  </si>
  <si>
    <t>04/04 - 20h</t>
  </si>
  <si>
    <t>AULA 03: Colocando nossa app em Alta Disponibilidade</t>
  </si>
  <si>
    <t>https://live.imersaoaws.com.br/aula03</t>
  </si>
  <si>
    <t>06/04 - 20h</t>
  </si>
  <si>
    <t>AULA 04: Escalabilidade na AWS + próximo passo para se preparar para as melhores oportunidades de TI</t>
  </si>
  <si>
    <t>https://live.imersaoaws.com.br/aula04</t>
  </si>
  <si>
    <t>AULAS DE APOIO</t>
  </si>
  <si>
    <t>Aquecimento - Bootcamp Imersão AWS</t>
  </si>
  <si>
    <t>-</t>
  </si>
  <si>
    <t>O que é AWS e porque quem sabe ganha tão bem</t>
  </si>
  <si>
    <t>https://links.formacaoaws.com.br/aquecimento-gravado-aula-01</t>
  </si>
  <si>
    <t>Como ter um ambiente para trabalhar com script gratuito na nuvem🔥Esquenta Bootcamp Imersão AWS</t>
  </si>
  <si>
    <t>https://links.formacaoaws.com.br/aquecimento-gravado-aula-02</t>
  </si>
  <si>
    <t>15 comandos Linux e Shell Script para um profissional que quer trabalhar com AWS e automação</t>
  </si>
  <si>
    <t>https://links.formacaoaws.com.br/aquecimento-gravado-aula-03</t>
  </si>
  <si>
    <t>Por onde começar na AWS?</t>
  </si>
  <si>
    <t>https://links.formacaoaws.com.br/aquecimento-gravado-aula-04</t>
  </si>
  <si>
    <t>Como se conectar a sua EC2 de forma segura na AWS direto do seu navegador</t>
  </si>
  <si>
    <t>https://links.formacaoaws.com.br/aquecimento-gravado-aula-05</t>
  </si>
  <si>
    <t>Aquecimento AO VIVO - Bootcamp Imersão AWS</t>
  </si>
  <si>
    <t>24/03 - 20h</t>
  </si>
  <si>
    <t>Por que saber AWS pode transformar sua carreira</t>
  </si>
  <si>
    <t>https://links.formacaoaws.com.br/aquecimento-aovivo-aula-01</t>
  </si>
  <si>
    <t>25/03 - 20h</t>
  </si>
  <si>
    <t>Github - Tudo que um profissional de TI precisa saber para iniciar</t>
  </si>
  <si>
    <t>https://links.formacaoaws.com.br/aquecimento-aovivo-aula-02</t>
  </si>
  <si>
    <t>26/03 - 20h</t>
  </si>
  <si>
    <t>Primeiros Passos com Docker + Docker Compose na prática</t>
  </si>
  <si>
    <t>https://links.formacaoaws.com.br/aquecimento-aovivo-aula-03</t>
  </si>
  <si>
    <t>27/03 - 20h</t>
  </si>
  <si>
    <t>Como funciona o ECS da AWS</t>
  </si>
  <si>
    <t>https://links.formacaoaws.com.br/aquecimento-aovivo-aula-04</t>
  </si>
  <si>
    <t>28/03 - 20h</t>
  </si>
  <si>
    <t>Os 5 passos para ter sucesso no evento</t>
  </si>
  <si>
    <t>https://links.formacaoaws.com.br/aquecimento-aovivo-aula-05</t>
  </si>
  <si>
    <t>CARGA HORÁRIA DE ESTUDOS DO DESAFIO &gt;&gt;&gt;&gt;&gt;&gt;&gt;&gt;&gt;&gt;&gt;&gt;&gt;&gt;&gt;&gt;&gt;&gt;&gt;&gt;&gt;&gt;&gt;&gt;&gt;&gt;&gt;&gt;&gt;</t>
  </si>
  <si>
    <t>LINKS IMPORTANTES</t>
  </si>
  <si>
    <t>Descrição</t>
  </si>
  <si>
    <t>Link</t>
  </si>
  <si>
    <t>Lista de Espera da Formação da AWS (Abriremos uma turma após o Bootcamp)</t>
  </si>
  <si>
    <t>https://inscricao.formacaoaws.com.br/</t>
  </si>
  <si>
    <t>Comunidade do Bootcamp Imersão AWS para tirar todas as suas dúvidas</t>
  </si>
  <si>
    <t>https://comunidade.imersaoaws.com.br</t>
  </si>
  <si>
    <t>Instagram do Henrylle Maia</t>
  </si>
  <si>
    <t>https://instagram.com/henryllemaia</t>
  </si>
  <si>
    <t>Suporte da Formação AWS</t>
  </si>
  <si>
    <t>https://inscricao.formacaoaws.com.br/suporte</t>
  </si>
  <si>
    <t>Desafio Labs de AWS dos alunos no Linkedin</t>
  </si>
  <si>
    <t>https://www.linkedin.com/in/henrylle/recent-activity/all/</t>
  </si>
  <si>
    <t>Histórias inspirados de alunos que alcançaram o próximo nível</t>
  </si>
  <si>
    <t>https://www.youtube.com/playlist?list=PL1GKfF64-2s2P2o-MgFvky-1vNQxntLDT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</si>
</sst>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h:mm:ss"/>
    <numFmt numFmtId="166" formatCode="HH:mm:ss"/>
  </numFmts>
  <fonts count="20">
    <font>
      <sz val="10.0"/>
      <color rgb="FF000000"/>
      <name val="Arial"/>
      <scheme val="minor"/>
    </font>
    <font>
      <b/>
      <sz val="45.0"/>
      <color rgb="FFFFFFFF"/>
      <name val="&quot;Barlow Semi Condensed&quot;"/>
    </font>
    <font>
      <b/>
      <sz val="30.0"/>
      <color rgb="FFFFFFFF"/>
      <name val="&quot;Barlow Semi Condensed&quot;"/>
    </font>
    <font>
      <b/>
      <color theme="1"/>
      <name val="Arial"/>
    </font>
    <font>
      <i/>
      <color theme="0"/>
      <name val="Arial"/>
      <scheme val="minor"/>
    </font>
    <font>
      <color theme="1"/>
      <name val="Arial"/>
      <scheme val="minor"/>
    </font>
    <font/>
    <font>
      <u/>
      <color rgb="FF0000FF"/>
    </font>
    <font>
      <b/>
      <sz val="22.0"/>
      <color rgb="FFFFFFFF"/>
      <name val="&quot;Barlow Semi Condensed&quot;"/>
    </font>
    <font>
      <b/>
      <color theme="0"/>
      <name val="Arial"/>
    </font>
    <font>
      <color theme="1"/>
      <name val="Arial"/>
    </font>
    <font>
      <u/>
      <color rgb="FF0000FF"/>
      <name val="Arial"/>
    </font>
    <font>
      <b/>
      <sz val="22.0"/>
      <color rgb="FFFFFFFF"/>
      <name val="Barlow Semi Condensed"/>
    </font>
    <font>
      <u/>
      <sz val="11.0"/>
      <color rgb="FF0000FF"/>
      <name val="Arial"/>
    </font>
    <font>
      <b/>
      <u/>
      <color rgb="FF0000FF"/>
    </font>
    <font>
      <u/>
      <color rgb="FF1155CC"/>
      <name val="Arial"/>
    </font>
    <font>
      <b/>
      <u/>
      <color rgb="FF0000FF"/>
      <name val="Arial"/>
    </font>
    <font>
      <u/>
      <color rgb="FF1155CC"/>
      <name val="Arial"/>
    </font>
    <font>
      <b/>
      <sz val="12.0"/>
      <color theme="1"/>
      <name val="Arial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EDEDE"/>
        <bgColor rgb="FFDEDEDE"/>
      </patternFill>
    </fill>
    <fill>
      <patternFill patternType="solid">
        <fgColor theme="1"/>
        <bgColor theme="1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1" fillId="3" fontId="3" numFmtId="0" xfId="0" applyAlignment="1" applyBorder="1" applyFill="1" applyFont="1">
      <alignment horizontal="center" readingOrder="0" vertical="bottom"/>
    </xf>
    <xf borderId="2" fillId="0" fontId="5" numFmtId="0" xfId="0" applyAlignment="1" applyBorder="1" applyFont="1">
      <alignment readingOrder="0"/>
    </xf>
    <xf borderId="3" fillId="0" fontId="6" numFmtId="0" xfId="0" applyBorder="1" applyFont="1"/>
    <xf borderId="4" fillId="0" fontId="6" numFmtId="0" xfId="0" applyBorder="1" applyFont="1"/>
    <xf borderId="2" fillId="3" fontId="3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/>
    </xf>
    <xf borderId="1" fillId="3" fontId="3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left" readingOrder="0" shrinkToFit="0" vertical="center" wrapText="1"/>
    </xf>
    <xf borderId="2" fillId="3" fontId="3" numFmtId="0" xfId="0" applyAlignment="1" applyBorder="1" applyFont="1">
      <alignment horizontal="center" readingOrder="0" vertical="bottom"/>
    </xf>
    <xf borderId="1" fillId="0" fontId="5" numFmtId="164" xfId="0" applyAlignment="1" applyBorder="1" applyFont="1" applyNumberFormat="1">
      <alignment readingOrder="0"/>
    </xf>
    <xf borderId="0" fillId="2" fontId="8" numFmtId="0" xfId="0" applyAlignment="1" applyFont="1">
      <alignment horizontal="center" readingOrder="0"/>
    </xf>
    <xf borderId="1" fillId="4" fontId="9" numFmtId="0" xfId="0" applyAlignment="1" applyBorder="1" applyFill="1" applyFont="1">
      <alignment horizontal="center" vertical="bottom"/>
    </xf>
    <xf borderId="1" fillId="0" fontId="10" numFmtId="0" xfId="0" applyAlignment="1" applyBorder="1" applyFont="1">
      <alignment readingOrder="0" vertical="bottom"/>
    </xf>
    <xf borderId="1" fillId="0" fontId="10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readingOrder="0" vertical="bottom"/>
    </xf>
    <xf borderId="1" fillId="0" fontId="10" numFmtId="165" xfId="0" applyAlignment="1" applyBorder="1" applyFont="1" applyNumberFormat="1">
      <alignment horizontal="center" readingOrder="0" vertical="bottom"/>
    </xf>
    <xf borderId="1" fillId="0" fontId="10" numFmtId="166" xfId="0" applyAlignment="1" applyBorder="1" applyFont="1" applyNumberFormat="1">
      <alignment horizontal="center" vertical="bottom"/>
    </xf>
    <xf borderId="1" fillId="0" fontId="10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10" numFmtId="0" xfId="0" applyBorder="1" applyFont="1"/>
    <xf borderId="0" fillId="0" fontId="5" numFmtId="0" xfId="0" applyAlignment="1" applyFont="1">
      <alignment readingOrder="0"/>
    </xf>
    <xf borderId="5" fillId="2" fontId="12" numFmtId="0" xfId="0" applyAlignment="1" applyBorder="1" applyFont="1">
      <alignment horizontal="center" vertical="bottom"/>
    </xf>
    <xf borderId="5" fillId="0" fontId="6" numFmtId="0" xfId="0" applyBorder="1" applyFont="1"/>
    <xf borderId="1" fillId="0" fontId="13" numFmtId="0" xfId="0" applyAlignment="1" applyBorder="1" applyFont="1">
      <alignment readingOrder="0" vertical="bottom"/>
    </xf>
    <xf borderId="1" fillId="0" fontId="10" numFmtId="0" xfId="0" applyAlignment="1" applyBorder="1" applyFont="1">
      <alignment horizontal="center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center" readingOrder="0" vertical="bottom"/>
    </xf>
    <xf borderId="0" fillId="0" fontId="14" numFmtId="0" xfId="0" applyAlignment="1" applyFont="1">
      <alignment readingOrder="0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166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/>
    </xf>
    <xf borderId="0" fillId="0" fontId="15" numFmtId="0" xfId="0" applyAlignment="1" applyFont="1">
      <alignment vertical="bottom"/>
    </xf>
    <xf borderId="1" fillId="0" fontId="16" numFmtId="0" xfId="0" applyAlignment="1" applyBorder="1" applyFont="1">
      <alignment readingOrder="0" vertical="bottom"/>
    </xf>
    <xf borderId="1" fillId="0" fontId="17" numFmtId="0" xfId="0" applyAlignment="1" applyBorder="1" applyFont="1">
      <alignment readingOrder="0" vertical="bottom"/>
    </xf>
    <xf borderId="1" fillId="0" fontId="10" numFmtId="0" xfId="0" applyAlignment="1" applyBorder="1" applyFont="1">
      <alignment horizontal="center" readingOrder="0"/>
    </xf>
    <xf borderId="6" fillId="0" fontId="10" numFmtId="0" xfId="0" applyAlignment="1" applyBorder="1" applyFont="1">
      <alignment horizontal="center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8" numFmtId="46" xfId="0" applyAlignment="1" applyFont="1" applyNumberFormat="1">
      <alignment horizontal="center" vertical="bottom"/>
    </xf>
    <xf borderId="2" fillId="0" fontId="5" numFmtId="0" xfId="0" applyAlignment="1" applyBorder="1" applyFont="1">
      <alignment readingOrder="0" shrinkToFit="0" wrapText="1"/>
    </xf>
    <xf borderId="2" fillId="0" fontId="19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links.formacaoaws.com.br/aquecimento-aovivo-aula-03" TargetMode="External"/><Relationship Id="rId10" Type="http://schemas.openxmlformats.org/officeDocument/2006/relationships/hyperlink" Target="https://links.formacaoaws.com.br/aquecimento-aovivo-aula-02" TargetMode="External"/><Relationship Id="rId13" Type="http://schemas.openxmlformats.org/officeDocument/2006/relationships/hyperlink" Target="https://links.formacaoaws.com.br/aquecimento-aovivo-aula-05" TargetMode="External"/><Relationship Id="rId12" Type="http://schemas.openxmlformats.org/officeDocument/2006/relationships/hyperlink" Target="https://links.formacaoaws.com.br/aquecimento-aovivo-aula-04" TargetMode="External"/><Relationship Id="rId1" Type="http://schemas.openxmlformats.org/officeDocument/2006/relationships/hyperlink" Target="https://comunidade.imersaoaws.com.br/" TargetMode="External"/><Relationship Id="rId2" Type="http://schemas.openxmlformats.org/officeDocument/2006/relationships/hyperlink" Target="https://live.imersaoaws.com.br/aula03" TargetMode="External"/><Relationship Id="rId3" Type="http://schemas.openxmlformats.org/officeDocument/2006/relationships/hyperlink" Target="https://live.imersaoaws.com.br/aula04" TargetMode="External"/><Relationship Id="rId4" Type="http://schemas.openxmlformats.org/officeDocument/2006/relationships/hyperlink" Target="https://links.formacaoaws.com.br/aquecimento-gravado-aula-01" TargetMode="External"/><Relationship Id="rId9" Type="http://schemas.openxmlformats.org/officeDocument/2006/relationships/hyperlink" Target="https://links.formacaoaws.com.br/aquecimento-aovivo-aula-01" TargetMode="External"/><Relationship Id="rId15" Type="http://schemas.openxmlformats.org/officeDocument/2006/relationships/hyperlink" Target="https://comunidade.imersaoaws.com.br/" TargetMode="External"/><Relationship Id="rId14" Type="http://schemas.openxmlformats.org/officeDocument/2006/relationships/hyperlink" Target="https://inscricao.formacaoaws.com.br/" TargetMode="External"/><Relationship Id="rId17" Type="http://schemas.openxmlformats.org/officeDocument/2006/relationships/hyperlink" Target="https://inscricao.formacaoaws.com.br/suporte" TargetMode="External"/><Relationship Id="rId16" Type="http://schemas.openxmlformats.org/officeDocument/2006/relationships/hyperlink" Target="https://instagram.com/henryllemaia" TargetMode="External"/><Relationship Id="rId5" Type="http://schemas.openxmlformats.org/officeDocument/2006/relationships/hyperlink" Target="https://www.youtube.com/watch?v=mxf0DgZeaW0" TargetMode="External"/><Relationship Id="rId19" Type="http://schemas.openxmlformats.org/officeDocument/2006/relationships/hyperlink" Target="https://www.youtube.com/playlist?list=PL1GKfF64-2s2P2o-MgFvky-1vNQxntLDT" TargetMode="External"/><Relationship Id="rId6" Type="http://schemas.openxmlformats.org/officeDocument/2006/relationships/hyperlink" Target="https://links.formacaoaws.com.br/aquecimento-gravado-aula-03" TargetMode="External"/><Relationship Id="rId18" Type="http://schemas.openxmlformats.org/officeDocument/2006/relationships/hyperlink" Target="https://www.linkedin.com/in/henrylle/recent-activity/all/" TargetMode="External"/><Relationship Id="rId7" Type="http://schemas.openxmlformats.org/officeDocument/2006/relationships/hyperlink" Target="https://links.formacaoaws.com.br/aquecimento-gravado-aula-04" TargetMode="External"/><Relationship Id="rId8" Type="http://schemas.openxmlformats.org/officeDocument/2006/relationships/hyperlink" Target="https://links.formacaoaws.com.br/aquecimento-gravado-aula-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5.75"/>
    <col customWidth="1" min="3" max="3" width="31.25"/>
    <col customWidth="1" min="4" max="4" width="56.75"/>
    <col customWidth="1" min="5" max="6" width="15.13"/>
  </cols>
  <sheetData>
    <row r="1">
      <c r="A1" s="1" t="s">
        <v>0</v>
      </c>
    </row>
    <row r="2">
      <c r="A2" s="2" t="s">
        <v>1</v>
      </c>
    </row>
    <row r="3">
      <c r="A3" s="3"/>
      <c r="H3" s="4"/>
    </row>
    <row r="4">
      <c r="A4" s="5" t="s">
        <v>2</v>
      </c>
      <c r="B4" s="6" t="s">
        <v>3</v>
      </c>
      <c r="C4" s="7"/>
      <c r="D4" s="7"/>
      <c r="E4" s="8"/>
      <c r="F4" s="9" t="s">
        <v>4</v>
      </c>
      <c r="G4" s="8"/>
      <c r="H4" s="10" t="str">
        <f>CONCATENATE(COUNTIF(H9:H12,true),"/",COUNTA(H9:H12))</f>
        <v>0/4</v>
      </c>
    </row>
    <row r="5" ht="47.25" customHeight="1">
      <c r="A5" s="11" t="s">
        <v>5</v>
      </c>
      <c r="B5" s="12" t="s">
        <v>6</v>
      </c>
      <c r="C5" s="7"/>
      <c r="D5" s="7"/>
      <c r="E5" s="8"/>
      <c r="F5" s="13" t="s">
        <v>7</v>
      </c>
      <c r="G5" s="8"/>
      <c r="H5" s="14">
        <v>45747.0</v>
      </c>
    </row>
    <row r="7">
      <c r="A7" s="15" t="s">
        <v>8</v>
      </c>
    </row>
    <row r="8">
      <c r="A8" s="5" t="s">
        <v>9</v>
      </c>
      <c r="B8" s="5" t="s">
        <v>10</v>
      </c>
      <c r="C8" s="11" t="s">
        <v>11</v>
      </c>
      <c r="D8" s="5" t="s">
        <v>12</v>
      </c>
      <c r="E8" s="11" t="s">
        <v>13</v>
      </c>
      <c r="F8" s="11" t="s">
        <v>14</v>
      </c>
      <c r="G8" s="11" t="s">
        <v>15</v>
      </c>
      <c r="H8" s="16" t="s">
        <v>16</v>
      </c>
    </row>
    <row r="9">
      <c r="A9" s="17" t="s">
        <v>3</v>
      </c>
      <c r="B9" s="18" t="s">
        <v>17</v>
      </c>
      <c r="C9" s="17" t="s">
        <v>18</v>
      </c>
      <c r="D9" s="19" t="str">
        <f t="shared" ref="D9:D10" si="1">CONCATENATE("https://live.imersaoaws.com.br/aula0",MID(C9,FIND(":",C9) - 2 + 1,FIND(":",C9) - 1 - (FIND(":",C9) - 2)))</f>
        <v>https://live.imersaoaws.com.br/aula01</v>
      </c>
      <c r="E9" s="20">
        <v>0.08333333333333333</v>
      </c>
      <c r="F9" s="21">
        <f t="shared" ref="F9:F12" si="2">IF(G9,E9*2,E9)</f>
        <v>0.1666666667</v>
      </c>
      <c r="G9" s="22" t="b">
        <v>1</v>
      </c>
      <c r="H9" s="23" t="b">
        <v>0</v>
      </c>
    </row>
    <row r="10">
      <c r="A10" s="17" t="s">
        <v>3</v>
      </c>
      <c r="B10" s="18" t="s">
        <v>19</v>
      </c>
      <c r="C10" s="17" t="s">
        <v>20</v>
      </c>
      <c r="D10" s="19" t="str">
        <f t="shared" si="1"/>
        <v>https://live.imersaoaws.com.br/aula02</v>
      </c>
      <c r="E10" s="20">
        <v>0.08333333333333333</v>
      </c>
      <c r="F10" s="21">
        <f t="shared" si="2"/>
        <v>0.1666666667</v>
      </c>
      <c r="G10" s="24" t="b">
        <v>1</v>
      </c>
      <c r="H10" s="23" t="b">
        <v>0</v>
      </c>
    </row>
    <row r="11">
      <c r="A11" s="17" t="s">
        <v>3</v>
      </c>
      <c r="B11" s="18" t="s">
        <v>21</v>
      </c>
      <c r="C11" s="17" t="s">
        <v>22</v>
      </c>
      <c r="D11" s="19" t="s">
        <v>23</v>
      </c>
      <c r="E11" s="20">
        <v>0.08333333333333333</v>
      </c>
      <c r="F11" s="21">
        <f t="shared" si="2"/>
        <v>0.1666666667</v>
      </c>
      <c r="G11" s="24" t="b">
        <v>1</v>
      </c>
      <c r="H11" s="23" t="b">
        <v>0</v>
      </c>
    </row>
    <row r="12">
      <c r="A12" s="17" t="s">
        <v>3</v>
      </c>
      <c r="B12" s="18" t="s">
        <v>24</v>
      </c>
      <c r="C12" s="17" t="s">
        <v>25</v>
      </c>
      <c r="D12" s="19" t="s">
        <v>26</v>
      </c>
      <c r="E12" s="20">
        <v>0.08333333333333333</v>
      </c>
      <c r="F12" s="21">
        <f t="shared" si="2"/>
        <v>0.1666666667</v>
      </c>
      <c r="G12" s="22" t="b">
        <v>1</v>
      </c>
      <c r="H12" s="23" t="b">
        <v>0</v>
      </c>
      <c r="J12" s="25"/>
    </row>
    <row r="14">
      <c r="A14" s="26" t="s">
        <v>27</v>
      </c>
      <c r="B14" s="27"/>
      <c r="C14" s="27"/>
      <c r="D14" s="27"/>
      <c r="E14" s="27"/>
      <c r="F14" s="27"/>
      <c r="G14" s="27"/>
      <c r="H14" s="27"/>
    </row>
    <row r="15">
      <c r="A15" s="5" t="s">
        <v>9</v>
      </c>
      <c r="B15" s="5" t="s">
        <v>10</v>
      </c>
      <c r="C15" s="11" t="s">
        <v>11</v>
      </c>
      <c r="D15" s="5" t="s">
        <v>12</v>
      </c>
      <c r="E15" s="11" t="s">
        <v>13</v>
      </c>
      <c r="F15" s="11" t="s">
        <v>14</v>
      </c>
      <c r="G15" s="11" t="s">
        <v>15</v>
      </c>
      <c r="H15" s="16" t="s">
        <v>16</v>
      </c>
    </row>
    <row r="16">
      <c r="A16" s="17" t="s">
        <v>28</v>
      </c>
      <c r="B16" s="18" t="s">
        <v>29</v>
      </c>
      <c r="C16" s="17" t="s">
        <v>30</v>
      </c>
      <c r="D16" s="28" t="s">
        <v>31</v>
      </c>
      <c r="E16" s="20">
        <v>0.016215277777777776</v>
      </c>
      <c r="F16" s="21">
        <f t="shared" ref="F16:F21" si="3">IF(G16,E16*4,E16)</f>
        <v>0.01621527778</v>
      </c>
      <c r="G16" s="29" t="b">
        <v>0</v>
      </c>
      <c r="H16" s="29" t="b">
        <v>0</v>
      </c>
    </row>
    <row r="17">
      <c r="A17" s="17" t="s">
        <v>28</v>
      </c>
      <c r="B17" s="18" t="s">
        <v>29</v>
      </c>
      <c r="C17" s="17" t="s">
        <v>32</v>
      </c>
      <c r="D17" s="19" t="s">
        <v>33</v>
      </c>
      <c r="E17" s="20">
        <v>0.010127314814814815</v>
      </c>
      <c r="F17" s="21">
        <f t="shared" si="3"/>
        <v>0.04050925926</v>
      </c>
      <c r="G17" s="29" t="b">
        <v>1</v>
      </c>
      <c r="H17" s="29" t="b">
        <v>0</v>
      </c>
    </row>
    <row r="18">
      <c r="A18" s="30" t="s">
        <v>28</v>
      </c>
      <c r="B18" s="31" t="s">
        <v>29</v>
      </c>
      <c r="C18" s="30" t="s">
        <v>34</v>
      </c>
      <c r="D18" s="32" t="s">
        <v>35</v>
      </c>
      <c r="E18" s="33">
        <v>0.019791666666666666</v>
      </c>
      <c r="F18" s="34">
        <f t="shared" si="3"/>
        <v>0.07916666667</v>
      </c>
      <c r="G18" s="35" t="b">
        <v>1</v>
      </c>
      <c r="H18" s="35" t="b">
        <v>0</v>
      </c>
    </row>
    <row r="19">
      <c r="A19" s="17" t="s">
        <v>28</v>
      </c>
      <c r="B19" s="18" t="s">
        <v>29</v>
      </c>
      <c r="C19" s="17" t="s">
        <v>36</v>
      </c>
      <c r="D19" s="36" t="s">
        <v>37</v>
      </c>
      <c r="E19" s="20">
        <v>0.010833333333333334</v>
      </c>
      <c r="F19" s="21">
        <f t="shared" si="3"/>
        <v>0.04333333333</v>
      </c>
      <c r="G19" s="29" t="b">
        <v>1</v>
      </c>
      <c r="H19" s="29" t="b">
        <v>0</v>
      </c>
    </row>
    <row r="20">
      <c r="A20" s="17" t="s">
        <v>28</v>
      </c>
      <c r="B20" s="18" t="s">
        <v>29</v>
      </c>
      <c r="C20" s="17" t="s">
        <v>38</v>
      </c>
      <c r="D20" s="36" t="s">
        <v>39</v>
      </c>
      <c r="E20" s="20">
        <v>0.012361111111111111</v>
      </c>
      <c r="F20" s="21">
        <f t="shared" si="3"/>
        <v>0.04944444444</v>
      </c>
      <c r="G20" s="29" t="b">
        <v>1</v>
      </c>
      <c r="H20" s="29" t="b">
        <v>0</v>
      </c>
    </row>
    <row r="21">
      <c r="A21" s="17" t="s">
        <v>40</v>
      </c>
      <c r="B21" s="18" t="s">
        <v>41</v>
      </c>
      <c r="C21" s="17" t="s">
        <v>42</v>
      </c>
      <c r="D21" s="19" t="s">
        <v>43</v>
      </c>
      <c r="E21" s="20">
        <v>0.020833333333333332</v>
      </c>
      <c r="F21" s="21">
        <f t="shared" si="3"/>
        <v>0.02083333333</v>
      </c>
      <c r="G21" s="29" t="b">
        <v>0</v>
      </c>
      <c r="H21" s="29" t="b">
        <v>0</v>
      </c>
    </row>
    <row r="22">
      <c r="A22" s="17" t="s">
        <v>40</v>
      </c>
      <c r="B22" s="18" t="s">
        <v>44</v>
      </c>
      <c r="C22" s="17" t="s">
        <v>45</v>
      </c>
      <c r="D22" s="19" t="s">
        <v>46</v>
      </c>
      <c r="E22" s="20">
        <v>0.020833333333333332</v>
      </c>
      <c r="F22" s="21">
        <f>IF(G22,E22*2,E22)</f>
        <v>0.04166666667</v>
      </c>
      <c r="G22" s="29" t="b">
        <v>1</v>
      </c>
      <c r="H22" s="29" t="b">
        <v>0</v>
      </c>
    </row>
    <row r="23">
      <c r="A23" s="30" t="s">
        <v>40</v>
      </c>
      <c r="B23" s="31" t="s">
        <v>47</v>
      </c>
      <c r="C23" s="30" t="s">
        <v>48</v>
      </c>
      <c r="D23" s="37" t="s">
        <v>49</v>
      </c>
      <c r="E23" s="33">
        <v>0.020833333333333332</v>
      </c>
      <c r="F23" s="34">
        <f t="shared" ref="F23:F25" si="4">IF(G23,E23*4,E23)</f>
        <v>0.08333333333</v>
      </c>
      <c r="G23" s="35" t="b">
        <v>1</v>
      </c>
      <c r="H23" s="35" t="b">
        <v>0</v>
      </c>
    </row>
    <row r="24">
      <c r="A24" s="17" t="s">
        <v>40</v>
      </c>
      <c r="B24" s="18" t="s">
        <v>50</v>
      </c>
      <c r="C24" s="17" t="s">
        <v>51</v>
      </c>
      <c r="D24" s="38" t="s">
        <v>52</v>
      </c>
      <c r="E24" s="20">
        <v>0.020833333333333332</v>
      </c>
      <c r="F24" s="21">
        <f t="shared" si="4"/>
        <v>0.02083333333</v>
      </c>
      <c r="G24" s="39" t="b">
        <v>0</v>
      </c>
      <c r="H24" s="29" t="b">
        <v>0</v>
      </c>
    </row>
    <row r="25">
      <c r="A25" s="17" t="s">
        <v>40</v>
      </c>
      <c r="B25" s="18" t="s">
        <v>53</v>
      </c>
      <c r="C25" s="17" t="s">
        <v>54</v>
      </c>
      <c r="D25" s="19" t="s">
        <v>55</v>
      </c>
      <c r="E25" s="20">
        <v>0.020833333333333332</v>
      </c>
      <c r="F25" s="21">
        <f t="shared" si="4"/>
        <v>0.02083333333</v>
      </c>
      <c r="G25" s="39" t="b">
        <v>0</v>
      </c>
      <c r="H25" s="40" t="b">
        <v>0</v>
      </c>
    </row>
    <row r="26">
      <c r="A26" s="41"/>
      <c r="B26" s="41"/>
      <c r="C26" s="41"/>
      <c r="D26" s="42"/>
      <c r="E26" s="42"/>
      <c r="F26" s="42"/>
      <c r="G26" s="42"/>
    </row>
    <row r="27">
      <c r="A27" s="43" t="s">
        <v>56</v>
      </c>
      <c r="D27" s="42"/>
      <c r="E27" s="44">
        <f>SUM(F9:F12,F16:F25)</f>
        <v>1.082835648</v>
      </c>
      <c r="F27" s="42"/>
      <c r="G27" s="42"/>
    </row>
    <row r="29">
      <c r="A29" s="15" t="s">
        <v>57</v>
      </c>
    </row>
    <row r="30">
      <c r="A30" s="13" t="s">
        <v>58</v>
      </c>
      <c r="B30" s="7"/>
      <c r="C30" s="7"/>
      <c r="D30" s="8"/>
      <c r="E30" s="13" t="s">
        <v>59</v>
      </c>
      <c r="F30" s="7"/>
      <c r="G30" s="7"/>
      <c r="H30" s="8"/>
    </row>
    <row r="31">
      <c r="A31" s="45" t="s">
        <v>60</v>
      </c>
      <c r="B31" s="7"/>
      <c r="C31" s="7"/>
      <c r="D31" s="8"/>
      <c r="E31" s="46" t="s">
        <v>61</v>
      </c>
      <c r="F31" s="7"/>
      <c r="G31" s="7"/>
      <c r="H31" s="8"/>
    </row>
    <row r="32">
      <c r="A32" s="45" t="s">
        <v>62</v>
      </c>
      <c r="B32" s="7"/>
      <c r="C32" s="7"/>
      <c r="D32" s="8"/>
      <c r="E32" s="46" t="s">
        <v>63</v>
      </c>
      <c r="F32" s="7"/>
      <c r="G32" s="7"/>
      <c r="H32" s="8"/>
    </row>
    <row r="33">
      <c r="A33" s="45" t="s">
        <v>64</v>
      </c>
      <c r="B33" s="7"/>
      <c r="C33" s="7"/>
      <c r="D33" s="8"/>
      <c r="E33" s="46" t="s">
        <v>65</v>
      </c>
      <c r="F33" s="7"/>
      <c r="G33" s="7"/>
      <c r="H33" s="8"/>
    </row>
    <row r="34">
      <c r="A34" s="45" t="s">
        <v>66</v>
      </c>
      <c r="B34" s="7"/>
      <c r="C34" s="7"/>
      <c r="D34" s="8"/>
      <c r="E34" s="46" t="s">
        <v>67</v>
      </c>
      <c r="F34" s="7"/>
      <c r="G34" s="7"/>
      <c r="H34" s="8"/>
    </row>
    <row r="35">
      <c r="A35" s="45" t="s">
        <v>68</v>
      </c>
      <c r="B35" s="7"/>
      <c r="C35" s="7"/>
      <c r="D35" s="8"/>
      <c r="E35" s="46" t="s">
        <v>69</v>
      </c>
      <c r="F35" s="7"/>
      <c r="G35" s="7"/>
      <c r="H35" s="8"/>
    </row>
    <row r="36">
      <c r="A36" s="45" t="s">
        <v>70</v>
      </c>
      <c r="B36" s="7"/>
      <c r="C36" s="7"/>
      <c r="D36" s="8"/>
      <c r="E36" s="46" t="s">
        <v>71</v>
      </c>
      <c r="F36" s="7"/>
      <c r="G36" s="7"/>
      <c r="H36" s="8"/>
    </row>
  </sheetData>
  <mergeCells count="26">
    <mergeCell ref="A1:H1"/>
    <mergeCell ref="A2:H2"/>
    <mergeCell ref="A3:G3"/>
    <mergeCell ref="H3:J3"/>
    <mergeCell ref="B4:E4"/>
    <mergeCell ref="F4:G4"/>
    <mergeCell ref="F5:G5"/>
    <mergeCell ref="B5:E5"/>
    <mergeCell ref="A7:H7"/>
    <mergeCell ref="A14:H14"/>
    <mergeCell ref="A27:C27"/>
    <mergeCell ref="A29:H29"/>
    <mergeCell ref="A30:D30"/>
    <mergeCell ref="E30:H30"/>
    <mergeCell ref="A34:D34"/>
    <mergeCell ref="A35:D35"/>
    <mergeCell ref="A36:D36"/>
    <mergeCell ref="E35:H35"/>
    <mergeCell ref="E36:H36"/>
    <mergeCell ref="A31:D31"/>
    <mergeCell ref="E31:H31"/>
    <mergeCell ref="A32:D32"/>
    <mergeCell ref="E32:H32"/>
    <mergeCell ref="A33:D33"/>
    <mergeCell ref="E33:H33"/>
    <mergeCell ref="E34:H34"/>
  </mergeCells>
  <hyperlinks>
    <hyperlink r:id="rId1" ref="B5"/>
    <hyperlink r:id="rId2" ref="D11"/>
    <hyperlink r:id="rId3" ref="D12"/>
    <hyperlink r:id="rId4" ref="D16"/>
    <hyperlink r:id="rId5" ref="D17"/>
    <hyperlink r:id="rId6" ref="D18"/>
    <hyperlink r:id="rId7" ref="D19"/>
    <hyperlink r:id="rId8" ref="D20"/>
    <hyperlink r:id="rId9" ref="D21"/>
    <hyperlink r:id="rId10" ref="D22"/>
    <hyperlink r:id="rId11" ref="D23"/>
    <hyperlink r:id="rId12" ref="D24"/>
    <hyperlink r:id="rId13" ref="D25"/>
    <hyperlink r:id="rId14" ref="E31"/>
    <hyperlink r:id="rId15" ref="E32"/>
    <hyperlink r:id="rId16" ref="E33"/>
    <hyperlink r:id="rId17" ref="E34"/>
    <hyperlink r:id="rId18" ref="E35"/>
    <hyperlink r:id="rId19" ref="E36"/>
  </hyperlinks>
  <drawing r:id="rId20"/>
</worksheet>
</file>